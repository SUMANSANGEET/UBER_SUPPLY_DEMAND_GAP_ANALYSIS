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-GENIUSES\Desktop\LABMENTIX\Data Analytics with AI\Project_1 Uber_Supply_Demand_gap_Analysis\UBER SUPPLY DEMAND GAPS-20260605T143337Z-3-001\UBER SUPPLY DEMAND GAPS\"/>
    </mc:Choice>
  </mc:AlternateContent>
  <xr:revisionPtr revIDLastSave="0" documentId="13_ncr:1_{E4915A02-17D4-4361-A847-D33F331B7F7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📋 SQL Index &amp; Summary" sheetId="1" r:id="rId1"/>
    <sheet name="📊 Queries 1–4" sheetId="2" r:id="rId2"/>
    <sheet name="📈 Queries 5–8" sheetId="3" r:id="rId3"/>
    <sheet name="🔬 Queries 9–12" sheetId="4" r:id="rId4"/>
    <sheet name="📉 SQL Result Charts" sheetId="5" r:id="rId5"/>
  </sheets>
  <calcPr calcId="0"/>
</workbook>
</file>

<file path=xl/sharedStrings.xml><?xml version="1.0" encoding="utf-8"?>
<sst xmlns="http://schemas.openxmlformats.org/spreadsheetml/2006/main" count="554" uniqueCount="331">
  <si>
    <t>🗄️  SQL INSIGHTS WORKBOOK  |  Uber Supply-Demand Gap  |  SQLite  |  12 Queries</t>
  </si>
  <si>
    <t>This workbook contains 12 SQL queries run on the Uber ride request dataset (6,745 rows) loaded into an in-memory SQLite database. Each query is shown with its full SQL code, result table, and a business insight. Navigate using the sheet tabs below.</t>
  </si>
  <si>
    <t>🗂️  DATABASE SCHEMA  —  Table: uber</t>
  </si>
  <si>
    <t>Column</t>
  </si>
  <si>
    <t>Data Type</t>
  </si>
  <si>
    <t>Nullable</t>
  </si>
  <si>
    <t>Description</t>
  </si>
  <si>
    <t>RequestId</t>
  </si>
  <si>
    <t>INTEGER</t>
  </si>
  <si>
    <t>NOT NULL</t>
  </si>
  <si>
    <t>Unique ride request ID (1–6745)</t>
  </si>
  <si>
    <t>PickupPoint</t>
  </si>
  <si>
    <t>TEXT</t>
  </si>
  <si>
    <t>"Airport" or "City" — two pickup locations</t>
  </si>
  <si>
    <t>DriverId</t>
  </si>
  <si>
    <t>Assigned driver (0 = no car available)</t>
  </si>
  <si>
    <t>Status</t>
  </si>
  <si>
    <t>"Trip Completed" | "Cancelled" | "No Cars Available"</t>
  </si>
  <si>
    <t>Hour</t>
  </si>
  <si>
    <t>Hour of request (0–23)</t>
  </si>
  <si>
    <t>Date</t>
  </si>
  <si>
    <t>Date in YYYY-MM-DD format</t>
  </si>
  <si>
    <t>DayOfWeek</t>
  </si>
  <si>
    <t>Monday–Friday</t>
  </si>
  <si>
    <t>TimeSlot</t>
  </si>
  <si>
    <t>"Early Morning" | "Morning" | "Afternoon" | "Evening" | "Late Night" | "Night"</t>
  </si>
  <si>
    <t>Unfulfilled</t>
  </si>
  <si>
    <t>1 = Cancelled or No Cars Available; 0 = Trip Completed</t>
  </si>
  <si>
    <t>DurMin</t>
  </si>
  <si>
    <t>REAL</t>
  </si>
  <si>
    <t>NULLABLE</t>
  </si>
  <si>
    <t>Trip duration in minutes (NULL for non-completed trips)</t>
  </si>
  <si>
    <t>📑  QUERY INDEX  —  12 SQL Insights</t>
  </si>
  <si>
    <t>#</t>
  </si>
  <si>
    <t>Query Title</t>
  </si>
  <si>
    <t>Category</t>
  </si>
  <si>
    <t>Key Finding</t>
  </si>
  <si>
    <t>Sheet</t>
  </si>
  <si>
    <t>Q1</t>
  </si>
  <si>
    <t>Overall Request Status Distribution</t>
  </si>
  <si>
    <t>Status Overview</t>
  </si>
  <si>
    <t>Only 42% of trips complete; 58% gap</t>
  </si>
  <si>
    <t>📊 Queries 1–4</t>
  </si>
  <si>
    <t>Q2</t>
  </si>
  <si>
    <t>Supply-Demand Gap by Time Slot</t>
  </si>
  <si>
    <t>Time Analysis</t>
  </si>
  <si>
    <t>Late Night worst rate (66.7%)</t>
  </si>
  <si>
    <t>Q3</t>
  </si>
  <si>
    <t>Cancellation &amp; No-Car Rate by Pickup</t>
  </si>
  <si>
    <t>Pickup Analysis</t>
  </si>
  <si>
    <t>Airport=No Cars; City=Cancellations</t>
  </si>
  <si>
    <t>Q4</t>
  </si>
  <si>
    <t>Top-10 Peak Gap Hours</t>
  </si>
  <si>
    <t>Hour 18 worst; 5-hour evening dead zone</t>
  </si>
  <si>
    <t>Q5</t>
  </si>
  <si>
    <t>Trip Duration Stats by Pickup Point</t>
  </si>
  <si>
    <t>Performance</t>
  </si>
  <si>
    <t>Both pickups avg ~52 min — route similarity</t>
  </si>
  <si>
    <t>📈 Queries 5–8</t>
  </si>
  <si>
    <t>Q6</t>
  </si>
  <si>
    <t>Daily Request Trend (5 Days)</t>
  </si>
  <si>
    <t>Trend Analysis</t>
  </si>
  <si>
    <t>Structural problem; consistent daily volume</t>
  </si>
  <si>
    <t>Q7</t>
  </si>
  <si>
    <t>Worst Pickup × Time Slot Combos</t>
  </si>
  <si>
    <t>Gap Segmentation</t>
  </si>
  <si>
    <t>City Morning + Airport Late Night = 55% gap</t>
  </si>
  <si>
    <t>Q8</t>
  </si>
  <si>
    <t>Hourly Cancel vs No-Car Rate</t>
  </si>
  <si>
    <t>Root Cause</t>
  </si>
  <si>
    <t>Cancels peak 5–9h; No Cars peak 17–21h</t>
  </si>
  <si>
    <t>Q9</t>
  </si>
  <si>
    <t>Driver Workload — Top Performers</t>
  </si>
  <si>
    <t>Driver Analysis</t>
  </si>
  <si>
    <t>Top 10 drivers: 10–14 trips each in 5 days</t>
  </si>
  <si>
    <t>🔬 Queries 9–12</t>
  </si>
  <si>
    <t>Q10</t>
  </si>
  <si>
    <t>Demand vs Supply Matrix: Hour × Pickup</t>
  </si>
  <si>
    <t>Matrix Analysis</t>
  </si>
  <si>
    <t>Hourly gap differs completely by pickup</t>
  </si>
  <si>
    <t>Q11</t>
  </si>
  <si>
    <t>Window: Running Total Gap by Hour</t>
  </si>
  <si>
    <t>Window Functions</t>
  </si>
  <si>
    <t>By 9h, 38% of day gap already accumulated</t>
  </si>
  <si>
    <t>Q12</t>
  </si>
  <si>
    <t>Complete Business Summary (KPIs)</t>
  </si>
  <si>
    <t>Executive Summary</t>
  </si>
  <si>
    <t>3,914 lost trips; 300 drivers; avg 52 min</t>
  </si>
  <si>
    <t>📊  SQL INSIGHTS  |  Queries 1–4  |  Status · Time Slot · Pickup · Peak Hours</t>
  </si>
  <si>
    <t xml:space="preserve">  Q1 — Overall Request Status Distribution</t>
  </si>
  <si>
    <t>📝 SQL: Q1</t>
  </si>
  <si>
    <t>SELECT</t>
  </si>
  <si>
    <t xml:space="preserve">    Status,</t>
  </si>
  <si>
    <t xml:space="preserve">    COUNT(*)                                          AS Total_Requests,</t>
  </si>
  <si>
    <t xml:space="preserve">    ROUND(COUNT(*) * 100.0 / (SELECT COUNT(*) FROM uber), 2) AS Pct_Share,</t>
  </si>
  <si>
    <t xml:space="preserve">    CASE</t>
  </si>
  <si>
    <t xml:space="preserve">        WHEN Status = 'Trip Completed'    THEN 'Fulfilled ✅'</t>
  </si>
  <si>
    <t xml:space="preserve">        WHEN Status = 'Cancelled'         THEN 'Unfulfilled ❌'</t>
  </si>
  <si>
    <t xml:space="preserve">        ELSE                                   'Unfulfilled 🚫'</t>
  </si>
  <si>
    <t xml:space="preserve">    END                                               AS Fulfillment_Type</t>
  </si>
  <si>
    <t>FROM uber</t>
  </si>
  <si>
    <t>GROUP BY Status</t>
  </si>
  <si>
    <t>ORDER BY Total_Requests DESC;</t>
  </si>
  <si>
    <t>💡 Insight: 58% of all requests go unfulfilled. No Cars Available (39.3%) is a bigger problem than Cancellations (18.7%) — fleet shortage dominates over driver behaviour.</t>
  </si>
  <si>
    <t>📋 Q1 Result</t>
  </si>
  <si>
    <t>Total_Requests</t>
  </si>
  <si>
    <t>Pct_Share</t>
  </si>
  <si>
    <t>Fulfillment_Type</t>
  </si>
  <si>
    <t>Trip Completed</t>
  </si>
  <si>
    <t>Fulfilled ✅</t>
  </si>
  <si>
    <t>No Cars Available</t>
  </si>
  <si>
    <t>Unfulfilled 🚫</t>
  </si>
  <si>
    <t>Cancelled</t>
  </si>
  <si>
    <t>Unfulfilled ❌</t>
  </si>
  <si>
    <t xml:space="preserve">  Q2 — Supply-Demand Gap by Time Slot</t>
  </si>
  <si>
    <t>📝 SQL: Q2</t>
  </si>
  <si>
    <t xml:space="preserve">    TimeSlot,</t>
  </si>
  <si>
    <t xml:space="preserve">    COUNT(*)                                    AS Total_Requests,</t>
  </si>
  <si>
    <t xml:space="preserve">    SUM(Unfulfilled)                            AS Unfulfilled_Count,</t>
  </si>
  <si>
    <t xml:space="preserve">    COUNT(*) - SUM(Unfulfilled)                 AS Completed_Count,</t>
  </si>
  <si>
    <t xml:space="preserve">    ROUND(SUM(Unfulfilled) * 100.0 / COUNT(*), 1) AS Gap_Pct,</t>
  </si>
  <si>
    <t xml:space="preserve">    ROUND((COUNT(*)-SUM(Unfulfilled))*100.0/COUNT(*),1) AS Completion_Pct</t>
  </si>
  <si>
    <t>GROUP BY TimeSlot</t>
  </si>
  <si>
    <t>ORDER BY Unfulfilled_Count DESC;</t>
  </si>
  <si>
    <t>💡 Insight: Morning has the highest raw unfulfilled count (1,249) driven by cancellations. Late Night has the worst gap rate (66.7%) driven by zero car availability. Night is the second-worst rate (57.9%).</t>
  </si>
  <si>
    <t>📋 Q2 Result</t>
  </si>
  <si>
    <t>Unfulfilled_Count</t>
  </si>
  <si>
    <t>Completed_Count</t>
  </si>
  <si>
    <t>Gap_Pct</t>
  </si>
  <si>
    <t>Completion_Pct</t>
  </si>
  <si>
    <t>Morning</t>
  </si>
  <si>
    <t>Late Night</t>
  </si>
  <si>
    <t>Night</t>
  </si>
  <si>
    <t>Evening</t>
  </si>
  <si>
    <t>Early Morning</t>
  </si>
  <si>
    <t>Afternoon</t>
  </si>
  <si>
    <t xml:space="preserve">  Q3 — Cancellation &amp; No-Car Rate by Pickup Point</t>
  </si>
  <si>
    <t>📝 SQL: Q3</t>
  </si>
  <si>
    <t xml:space="preserve">    PickupPoint,</t>
  </si>
  <si>
    <t xml:space="preserve">    COUNT(*)                                                                AS Total,</t>
  </si>
  <si>
    <t xml:space="preserve">    SUM(CASE WHEN Status='Cancelled'          THEN 1 ELSE 0 END)           AS Cancelled,</t>
  </si>
  <si>
    <t xml:space="preserve">    SUM(CASE WHEN Status='No Cars Available'  THEN 1 ELSE 0 END)           AS No_Cars,</t>
  </si>
  <si>
    <t xml:space="preserve">    SUM(CASE WHEN Status='Trip Completed'     THEN 1 ELSE 0 END)           AS Completed,</t>
  </si>
  <si>
    <t xml:space="preserve">    ROUND(SUM(CASE WHEN Status='Cancelled' THEN 1.0 ELSE 0 END)</t>
  </si>
  <si>
    <t xml:space="preserve">          / COUNT(*) * 100, 2)                                             AS Cancel_Rate_Pct,</t>
  </si>
  <si>
    <t xml:space="preserve">    ROUND(SUM(CASE WHEN Status='No Cars Available' THEN 1.0 ELSE 0 END)</t>
  </si>
  <si>
    <t xml:space="preserve">          / COUNT(*) * 100, 2)                                             AS NoCar_Rate_Pct,</t>
  </si>
  <si>
    <t xml:space="preserve">    ROUND(SUM(CASE WHEN Status='Trip Completed' THEN 1.0 ELSE 0 END)</t>
  </si>
  <si>
    <t xml:space="preserve">          / COUNT(*) * 100, 2)                                             AS Completion_Rate_Pct</t>
  </si>
  <si>
    <t>GROUP BY PickupPoint</t>
  </si>
  <si>
    <t>ORDER BY PickupPoint;</t>
  </si>
  <si>
    <t>💡 Insight: Airport = "No Cars" problem (52.9% no-car rate). City = Cancellation problem (30.4% cancel rate). The two pickup points have completely different failure modes — solutions must be targeted differently.</t>
  </si>
  <si>
    <t>📋 Q3 Result</t>
  </si>
  <si>
    <t>Total</t>
  </si>
  <si>
    <t>No_Cars</t>
  </si>
  <si>
    <t>Completed</t>
  </si>
  <si>
    <t>Cancel_Rate_Pct</t>
  </si>
  <si>
    <t>NoCar_Rate_Pct</t>
  </si>
  <si>
    <t>Completion_Rate_Pct</t>
  </si>
  <si>
    <t>Airport</t>
  </si>
  <si>
    <t>City</t>
  </si>
  <si>
    <t xml:space="preserve">  Q4 — Top-10 Peak Gap Hours</t>
  </si>
  <si>
    <t>📝 SQL: Q4</t>
  </si>
  <si>
    <t xml:space="preserve">    Hour,</t>
  </si>
  <si>
    <t xml:space="preserve">    COUNT(*)                                       AS Total_Requests,</t>
  </si>
  <si>
    <t xml:space="preserve">    SUM(Unfulfilled)                               AS Unfulfilled,</t>
  </si>
  <si>
    <t xml:space="preserve">    SUM(CASE WHEN Status='Cancelled'         THEN 1 ELSE 0 END) AS Cancelled,</t>
  </si>
  <si>
    <t xml:space="preserve">    SUM(CASE WHEN Status='No Cars Available' THEN 1 ELSE 0 END) AS No_Cars,</t>
  </si>
  <si>
    <t xml:space="preserve">    ROUND(SUM(Unfulfilled) * 100.0 / COUNT(*), 1)  AS Gap_Pct</t>
  </si>
  <si>
    <t>GROUP BY Hour</t>
  </si>
  <si>
    <t>ORDER BY Unfulfilled DESC</t>
  </si>
  <si>
    <t>LIMIT 10;</t>
  </si>
  <si>
    <t>💡 Insight: Hour 18 (6 PM) is the single worst — 346 unfulfilled out of 510 requests (67.8% gap). Hours 17–21 form a 5-hour "dead zone" for Airport pick-ups. Hour 8 has the most cancellations (178).</t>
  </si>
  <si>
    <t>📋 Q4 Result</t>
  </si>
  <si>
    <t>📈  SQL INSIGHTS  |  Queries 5–8  |  Duration · Daily Trend · Segment · Root Cause</t>
  </si>
  <si>
    <t xml:space="preserve">  Q5 — Trip Duration Statistics by Pickup Point</t>
  </si>
  <si>
    <t>📝 SQL: Q5</t>
  </si>
  <si>
    <t xml:space="preserve">    COUNT(*)                          AS Completed_Trips,</t>
  </si>
  <si>
    <t xml:space="preserve">    ROUND(AVG(DurMin),  2)            AS Avg_Duration_Min,</t>
  </si>
  <si>
    <t xml:space="preserve">    ROUND(MIN(DurMin),  2)            AS Min_Duration_Min,</t>
  </si>
  <si>
    <t xml:space="preserve">    ROUND(MAX(DurMin),  2)            AS Max_Duration_Min,</t>
  </si>
  <si>
    <t xml:space="preserve">    ROUND(AVG(DurMin) - MIN(DurMin),2) AS Range_From_Min,</t>
  </si>
  <si>
    <t xml:space="preserve">    ROUND(MAX(DurMin) - MIN(DurMin),2) AS Full_Range_Min</t>
  </si>
  <si>
    <t>WHERE Status = 'Trip Completed'</t>
  </si>
  <si>
    <t xml:space="preserve">  AND DurMin IS NOT NULL</t>
  </si>
  <si>
    <t>💡 Insight: Both Airport (52.2 min) and City (52.6 min) trips take nearly identical average time, confirming similar route distances. The wide range (up to ~105 min) reflects traffic variability, not route difference.</t>
  </si>
  <si>
    <t>📋 Q5 Result</t>
  </si>
  <si>
    <t>Completed_Trips</t>
  </si>
  <si>
    <t>Avg_Duration_Min</t>
  </si>
  <si>
    <t>Min_Duration_Min</t>
  </si>
  <si>
    <t>Max_Duration_Min</t>
  </si>
  <si>
    <t>Full_Range_Min</t>
  </si>
  <si>
    <t xml:space="preserve">  Q6 — Daily Request Trend (5 Days)</t>
  </si>
  <si>
    <t>📝 SQL: Q6</t>
  </si>
  <si>
    <t xml:space="preserve">    Date,</t>
  </si>
  <si>
    <t xml:space="preserve">    DayOfWeek,</t>
  </si>
  <si>
    <t xml:space="preserve">    COUNT(*)                                                              AS Total_Requests,</t>
  </si>
  <si>
    <t xml:space="preserve">    SUM(CASE WHEN Status='Trip Completed'    THEN 1 ELSE 0 END)          AS Completed,</t>
  </si>
  <si>
    <t xml:space="preserve">    SUM(CASE WHEN Status='Cancelled'         THEN 1 ELSE 0 END)          AS Cancelled,</t>
  </si>
  <si>
    <t xml:space="preserve">    SUM(CASE WHEN Status='No Cars Available' THEN 1 ELSE 0 END)          AS No_Cars,</t>
  </si>
  <si>
    <t xml:space="preserve">    SUM(Unfulfilled)                                                      AS Total_Unfulfilled,</t>
  </si>
  <si>
    <t xml:space="preserve">          / COUNT(*) * 100, 1)                                            AS Completion_Pct</t>
  </si>
  <si>
    <t>GROUP BY Date, DayOfWeek</t>
  </si>
  <si>
    <t>ORDER BY Date;</t>
  </si>
  <si>
    <t>💡 Insight: Demand is remarkably consistent across all 5 days (1,307–1,381 requests/day), confirming this is a structural supply problem — not a one-day anomaly. Thursday has the worst completion rate (39.2%).</t>
  </si>
  <si>
    <t>📋 Q6 Result</t>
  </si>
  <si>
    <t>Total_Unfulfilled</t>
  </si>
  <si>
    <t>2016-07-11</t>
  </si>
  <si>
    <t>Monday</t>
  </si>
  <si>
    <t>2016-07-12</t>
  </si>
  <si>
    <t>Tuesday</t>
  </si>
  <si>
    <t>2016-07-13</t>
  </si>
  <si>
    <t>Wednesday</t>
  </si>
  <si>
    <t>2016-07-14</t>
  </si>
  <si>
    <t>Thursday</t>
  </si>
  <si>
    <t>2016-07-15</t>
  </si>
  <si>
    <t>Friday</t>
  </si>
  <si>
    <t xml:space="preserve">  Q7 — Worst Pickup × Time Slot Combinations</t>
  </si>
  <si>
    <t>📝 SQL: Q7</t>
  </si>
  <si>
    <t xml:space="preserve">    COUNT(*)                                        AS Total_Requests,</t>
  </si>
  <si>
    <t xml:space="preserve">    SUM(Unfulfilled)                                AS Unfulfilled,</t>
  </si>
  <si>
    <t xml:space="preserve">    COUNT(*) - SUM(Unfulfilled)                     AS Completed,</t>
  </si>
  <si>
    <t xml:space="preserve">    ROUND(SUM(Unfulfilled)*100.0 / COUNT(*), 1)     AS Gap_Pct,</t>
  </si>
  <si>
    <t xml:space="preserve">        WHEN ROUND(SUM(Unfulfilled)*100.0/COUNT(*),1) &gt;= 70 THEN '🔴 CRITICAL'</t>
  </si>
  <si>
    <t xml:space="preserve">        WHEN ROUND(SUM(Unfulfilled)*100.0/COUNT(*),1) &gt;= 50 THEN '🟠 HIGH'</t>
  </si>
  <si>
    <t xml:space="preserve">        WHEN ROUND(SUM(Unfulfilled)*100.0/COUNT(*),1) &gt;= 30 THEN '🟡 MEDIUM'</t>
  </si>
  <si>
    <t xml:space="preserve">        ELSE '🟢 LOW'</t>
  </si>
  <si>
    <t xml:space="preserve">    END                                             AS Severity</t>
  </si>
  <si>
    <t>GROUP BY PickupPoint, TimeSlot</t>
  </si>
  <si>
    <t>💡 Insight: City Morning (1,205 unfulfilled) and Airport Late Night (911 unfulfilled) account for 55% of ALL unfulfilled requests combined. Fixing just these two segments would eliminate more than half the gap.</t>
  </si>
  <si>
    <t>📋 Q7 Result</t>
  </si>
  <si>
    <t>Severity</t>
  </si>
  <si>
    <t>🔴 CRITICAL</t>
  </si>
  <si>
    <t>🟠 HIGH</t>
  </si>
  <si>
    <t>🟡 MEDIUM</t>
  </si>
  <si>
    <t xml:space="preserve">  Q8 — Hourly Cancellation vs No-Cars Rate</t>
  </si>
  <si>
    <t>📝 SQL: Q8</t>
  </si>
  <si>
    <t xml:space="preserve">    COUNT(*)                                                              AS Total,</t>
  </si>
  <si>
    <t xml:space="preserve">          / COUNT(*) * 100, 1)                                            AS Cancel_Pct,</t>
  </si>
  <si>
    <t xml:space="preserve">          / COUNT(*) * 100, 1)                                            AS NoCar_Pct</t>
  </si>
  <si>
    <t>ORDER BY Hour;</t>
  </si>
  <si>
    <t>💡 Insight: Cancel_Pct peaks at 5–9h (morning, City→Airport rush). NoCar_Pct peaks at 17–21h (evening, Airport). The two failure modes are time-separated by ~12 hours — each needs a different intervention.</t>
  </si>
  <si>
    <t>📋 Q8 Result</t>
  </si>
  <si>
    <t>Cancel_Pct</t>
  </si>
  <si>
    <t>NoCar_Pct</t>
  </si>
  <si>
    <t>🔬  SQL INSIGHTS  |  Queries 9–12  |  Drivers · Matrix · Window Funcs · KPI Summary</t>
  </si>
  <si>
    <t xml:space="preserve">  Q9 — Driver Workload Analysis (Top &amp; Bottom Performers)</t>
  </si>
  <si>
    <t>📝 SQL: Q9</t>
  </si>
  <si>
    <t>-- Drivers who completed the most trips</t>
  </si>
  <si>
    <t xml:space="preserve">    DriverId,</t>
  </si>
  <si>
    <t xml:space="preserve">    COUNT(*)                                         AS Trips_Completed,</t>
  </si>
  <si>
    <t xml:space="preserve">    ROUND(AVG(DurMin), 2)                            AS Avg_Trip_Duration_Min,</t>
  </si>
  <si>
    <t xml:space="preserve">    ROUND(MIN(DurMin), 2)                            AS Min_Trip_Min,</t>
  </si>
  <si>
    <t xml:space="preserve">    ROUND(MAX(DurMin), 2)                            AS Max_Trip_Min,</t>
  </si>
  <si>
    <t xml:space="preserve">    COUNT(DISTINCT PickupPoint)                      AS Pickup_Points_Served</t>
  </si>
  <si>
    <t xml:space="preserve">  AND DriverId &gt; 0</t>
  </si>
  <si>
    <t>GROUP BY DriverId</t>
  </si>
  <si>
    <t>ORDER BY Trips_Completed DESC</t>
  </si>
  <si>
    <t>💡 Insight: Top 10 drivers each completed 10–14 trips over 5 days (2–3 trips/day). Some drivers serve both Airport and City pickups, indicating flexibility. Heavy workload concentration in a small pool suggests fleet expansion is needed.</t>
  </si>
  <si>
    <t>📋 Q9 Result</t>
  </si>
  <si>
    <t>Trips_Completed</t>
  </si>
  <si>
    <t>Avg_Trip_Duration_Min</t>
  </si>
  <si>
    <t>Min_Trip_Min</t>
  </si>
  <si>
    <t>Max_Trip_Min</t>
  </si>
  <si>
    <t>Pickup_Points_Served</t>
  </si>
  <si>
    <t xml:space="preserve">  Q10 — Demand vs Supply Gap: Hour × Pickup Point Matrix</t>
  </si>
  <si>
    <t>📝 SQL: Q10</t>
  </si>
  <si>
    <t xml:space="preserve">    SUM(CASE WHEN PickupPoint='Airport' THEN 1 ELSE 0 END)              AS Airport_Requests,</t>
  </si>
  <si>
    <t xml:space="preserve">    SUM(CASE WHEN PickupPoint='Airport'</t>
  </si>
  <si>
    <t xml:space="preserve">             AND Status='Trip Completed' THEN 1 ELSE 0 END)             AS Airport_Completed,</t>
  </si>
  <si>
    <t xml:space="preserve">             AND Unfulfilled=1 THEN 1 ELSE 0 END)                       AS Airport_Gap,</t>
  </si>
  <si>
    <t xml:space="preserve">    SUM(CASE WHEN PickupPoint='City' THEN 1 ELSE 0 END)                 AS City_Requests,</t>
  </si>
  <si>
    <t xml:space="preserve">    SUM(CASE WHEN PickupPoint='City'</t>
  </si>
  <si>
    <t xml:space="preserve">             AND Status='Trip Completed' THEN 1 ELSE 0 END)             AS City_Completed,</t>
  </si>
  <si>
    <t xml:space="preserve">             AND Unfulfilled=1 THEN 1 ELSE 0 END)                       AS City_Gap</t>
  </si>
  <si>
    <t>💡 Insight: Airport gap dominates from hour 17 onward (80–200+ per hour). City gap dominates from hour 5–9 (100–200+ cancellations/hour). The two peaks are opposite in timing, suggesting a driver circulation problem — cars stuck at City can't reach Airport in time.</t>
  </si>
  <si>
    <t>📋 Q10 Result</t>
  </si>
  <si>
    <t>Airport_Requests</t>
  </si>
  <si>
    <t>Airport_Completed</t>
  </si>
  <si>
    <t>Airport_Gap</t>
  </si>
  <si>
    <t>City_Requests</t>
  </si>
  <si>
    <t>City_Completed</t>
  </si>
  <si>
    <t>City_Gap</t>
  </si>
  <si>
    <t xml:space="preserve">  Q11 — Window Function: Running Total of Gap by Hour</t>
  </si>
  <si>
    <t>📝 SQL: Q11</t>
  </si>
  <si>
    <t xml:space="preserve">    SUM(Unfulfilled)                                     AS Hourly_Gap,</t>
  </si>
  <si>
    <t xml:space="preserve">    SUM(SUM(Unfulfilled)) OVER (ORDER BY Hour</t>
  </si>
  <si>
    <t xml:space="preserve">                                ROWS BETWEEN UNBOUNDED PRECEDING</t>
  </si>
  <si>
    <t xml:space="preserve">                                AND CURRENT ROW)         AS Running_Total_Gap,</t>
  </si>
  <si>
    <t xml:space="preserve">    ROUND(SUM(SUM(Unfulfilled)) OVER (ORDER BY Hour</t>
  </si>
  <si>
    <t xml:space="preserve">                                AND CURRENT ROW)</t>
  </si>
  <si>
    <t xml:space="preserve">          * 100.0 / SUM(SUM(Unfulfilled)) OVER (), 1)   AS Cumulative_Gap_Pct</t>
  </si>
  <si>
    <t>GROUP BY Hour, TimeSlot</t>
  </si>
  <si>
    <t>💡 Insight: By hour 9 (end of morning rush), 38% of the day's total gap has already accumulated. By hour 21, over 90% is done. This means fixing the morning and evening rush hours would eliminate the vast majority of unfulfilled requests.</t>
  </si>
  <si>
    <t>📋 Q11 Result</t>
  </si>
  <si>
    <t>Hourly_Gap</t>
  </si>
  <si>
    <t>Running_Total_Gap</t>
  </si>
  <si>
    <t>Cumulative_Gap_Pct</t>
  </si>
  <si>
    <t xml:space="preserve">  Q12 — Complete Business Summary (Executive KPIs)</t>
  </si>
  <si>
    <t>📝 SQL: Q12</t>
  </si>
  <si>
    <t xml:space="preserve">    SUM(CASE WHEN Status='Trip Completed'    THEN 1 ELSE 0 END)          AS Total_Completed,</t>
  </si>
  <si>
    <t xml:space="preserve">    SUM(CASE WHEN Status='Cancelled'         THEN 1 ELSE 0 END)          AS Total_Cancelled,</t>
  </si>
  <si>
    <t xml:space="preserve">    SUM(CASE WHEN Status='No Cars Available' THEN 1 ELSE 0 END)          AS Total_No_Cars,</t>
  </si>
  <si>
    <t xml:space="preserve">          / COUNT(*) * 100, 2)                                            AS Completion_Rate_Pct,</t>
  </si>
  <si>
    <t xml:space="preserve">    ROUND(SUM(Unfulfilled) * 100.0 / COUNT(*), 2)                        AS Gap_Rate_Pct,</t>
  </si>
  <si>
    <t xml:space="preserve">    COUNT(DISTINCT DriverId)                                              AS Active_Drivers,</t>
  </si>
  <si>
    <t xml:space="preserve">    COUNT(DISTINCT Date)                                                  AS Days_Observed,</t>
  </si>
  <si>
    <t xml:space="preserve">    ROUND(COUNT(*) * 1.0 / COUNT(DISTINCT Date), 0)                      AS Avg_Daily_Requests,</t>
  </si>
  <si>
    <t xml:space="preserve">    ROUND(AVG(CASE WHEN DurMin IS NOT NULL THEN DurMin END), 2)          AS Avg_Trip_Duration_Min</t>
  </si>
  <si>
    <t>FROM uber;</t>
  </si>
  <si>
    <t>💡 Insight: In just 5 days, Uber lost 3,914 potential trip completions. With 300 active drivers and avg trip ~52 min, each unfulfilled request represents a revenue loss. Fixing the gap could increase completions by ~138%, nearly doubling output.</t>
  </si>
  <si>
    <t>📋 Q12 Result</t>
  </si>
  <si>
    <t>Total_Completed</t>
  </si>
  <si>
    <t>Total_Cancelled</t>
  </si>
  <si>
    <t>Total_No_Cars</t>
  </si>
  <si>
    <t>Gap_Rate_Pct</t>
  </si>
  <si>
    <t>Active_Drivers</t>
  </si>
  <si>
    <t>Days_Observed</t>
  </si>
  <si>
    <t>Avg_Daily_Requests</t>
  </si>
  <si>
    <t>📉  SQL RESULT VISUALISATIONS  |  Charts Derived Directly from SQL Query Results</t>
  </si>
  <si>
    <t>TOTAL REQUESTS</t>
  </si>
  <si>
    <t>COMPLETED</t>
  </si>
  <si>
    <t>CANCELLED</t>
  </si>
  <si>
    <t>NO CARS</t>
  </si>
  <si>
    <t>UNFULFILLED</t>
  </si>
  <si>
    <t>GAP RATE</t>
  </si>
  <si>
    <t>ACTIVE DRIVERS</t>
  </si>
  <si>
    <t>AVG DURATION</t>
  </si>
  <si>
    <t>58.0%</t>
  </si>
  <si>
    <t>52.4m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</si>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</sst>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A3A5C"/>
      <name val="Arial"/>
    </font>
    <font>
      <b/>
      <sz val="11"/>
      <color rgb="FFFFFFFF"/>
      <name val="Arial"/>
    </font>
    <font>
      <b/>
      <sz val="10"/>
      <color rgb="FF1A3A5C"/>
      <name val="Arial"/>
    </font>
    <font>
      <sz val="10"/>
      <color rgb="FF1A3A5C"/>
      <name val="Arial"/>
    </font>
    <font>
      <b/>
      <sz val="10"/>
      <color rgb="FFE8A838"/>
      <name val="Consolas"/>
    </font>
    <font>
      <sz val="9"/>
      <color rgb="FF569CD6"/>
      <name val="Consolas"/>
    </font>
    <font>
      <sz val="9"/>
      <color rgb="FFFFFFFF"/>
      <name val="Consolas"/>
    </font>
    <font>
      <sz val="9"/>
      <color rgb="FFDCDCAA"/>
      <name val="Consolas"/>
    </font>
    <font>
      <i/>
      <sz val="9"/>
      <color rgb="FF5D4037"/>
      <name val="Arial"/>
    </font>
    <font>
      <sz val="9"/>
      <color rgb="FF6A9955"/>
      <name val="Consolas"/>
    </font>
    <font>
      <b/>
      <sz val="9"/>
      <color rgb="FFFFFFFF"/>
      <name val="Arial"/>
    </font>
    <font>
      <b/>
      <sz val="20"/>
      <color rgb="FFFFFFFF"/>
      <name val="Arial"/>
    </font>
  </fonts>
  <fills count="3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8A838"/>
      </patternFill>
    </fill>
    <fill>
      <patternFill patternType="solid">
        <fgColor rgb="FFD6E4F0"/>
      </patternFill>
    </fill>
    <fill>
      <patternFill patternType="solid">
        <fgColor rgb="FF2E6DA4"/>
      </patternFill>
    </fill>
    <fill>
      <patternFill patternType="solid">
        <fgColor rgb="FFE8EEF4"/>
      </patternFill>
    </fill>
    <fill>
      <patternFill patternType="solid">
        <fgColor rgb="FFF7F9F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EDE7F6"/>
      </patternFill>
    </fill>
    <fill>
      <patternFill patternType="solid">
        <fgColor rgb="FFE8EAF6"/>
      </patternFill>
    </fill>
    <fill>
      <patternFill patternType="solid">
        <fgColor rgb="FFFCE4EC"/>
      </patternFill>
    </fill>
    <fill>
      <patternFill patternType="solid">
        <fgColor rgb="FFE1F5FE"/>
      </patternFill>
    </fill>
    <fill>
      <patternFill patternType="solid">
        <fgColor rgb="FF2D2D44"/>
      </patternFill>
    </fill>
    <fill>
      <patternFill patternType="solid">
        <fgColor rgb="FF1E1E2E"/>
      </patternFill>
    </fill>
    <fill>
      <patternFill patternType="solid">
        <fgColor rgb="FF2E7D32"/>
      </patternFill>
    </fill>
    <fill>
      <patternFill patternType="solid">
        <fgColor rgb="FFFFFDE7"/>
      </patternFill>
    </fill>
    <fill>
      <patternFill patternType="solid">
        <fgColor rgb="FFFFD2D2"/>
      </patternFill>
    </fill>
    <fill>
      <patternFill patternType="solid">
        <fgColor rgb="FFFFE8CC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6A1B9A"/>
      </patternFill>
    </fill>
    <fill>
      <patternFill patternType="solid">
        <fgColor rgb="FF00695C"/>
      </patternFill>
    </fill>
  </fills>
  <borders count="4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4A4A6A"/>
      </left>
      <right style="thin">
        <color rgb="FF4A4A6A"/>
      </right>
      <top style="thin">
        <color rgb="FF4A4A6A"/>
      </top>
      <bottom style="thin">
        <color rgb="FF4A4A6A"/>
      </bottom>
      <diagonal/>
    </border>
    <border>
      <left style="thin">
        <color rgb="FF3A3A5A"/>
      </left>
      <right style="thin">
        <color rgb="FF3A3A5A"/>
      </right>
      <top style="thin">
        <color rgb="FF3A3A5A"/>
      </top>
      <bottom style="thin">
        <color rgb="FF3A3A5A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center" vertical="center" wrapText="1"/>
    </xf>
    <xf numFmtId="0" fontId="12" fillId="26" borderId="1" xfId="0" applyFont="1" applyFill="1" applyBorder="1" applyAlignment="1">
      <alignment horizontal="center" vertical="center" wrapText="1"/>
    </xf>
    <xf numFmtId="0" fontId="12" fillId="27" borderId="1" xfId="0" applyFont="1" applyFill="1" applyBorder="1" applyAlignment="1">
      <alignment horizontal="center" vertical="center" wrapText="1"/>
    </xf>
    <xf numFmtId="0" fontId="12" fillId="28" borderId="1" xfId="0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13" fillId="27" borderId="1" xfId="0" applyFont="1" applyFill="1" applyBorder="1" applyAlignment="1">
      <alignment horizontal="center" vertical="center" wrapText="1"/>
    </xf>
    <xf numFmtId="0" fontId="13" fillId="28" borderId="1" xfId="0" applyFont="1" applyFill="1" applyBorder="1" applyAlignment="1">
      <alignment horizontal="center" vertical="center" wrapText="1"/>
    </xf>
    <xf numFmtId="0" fontId="13" fillId="29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 vertical="center" wrapText="1"/>
    </xf>
    <xf numFmtId="0" fontId="9" fillId="20" borderId="3" xfId="0" applyFont="1" applyFill="1" applyBorder="1" applyAlignment="1">
      <alignment horizontal="left" vertical="center"/>
    </xf>
    <xf numFmtId="0" fontId="8" fillId="20" borderId="3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1" fillId="2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Q1: Request Status Share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'📉 SQL Result Charts'!$B$6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7AE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280-4DE7-B99A-1ED669D28BE4}"/>
              </c:ext>
            </c:extLst>
          </c:dPt>
          <c:dPt>
            <c:idx val="1"/>
            <c:bubble3D val="0"/>
            <c:spPr>
              <a:solidFill>
                <a:srgbClr val="E67E2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280-4DE7-B99A-1ED669D28BE4}"/>
              </c:ext>
            </c:extLst>
          </c:dPt>
          <c:dPt>
            <c:idx val="2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280-4DE7-B99A-1ED669D28BE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'📉 SQL Result Charts'!$A$7:$A$9</c:f>
              <c:strCache>
                <c:ptCount val="3"/>
                <c:pt idx="0">
                  <c:v>Trip Completed</c:v>
                </c:pt>
                <c:pt idx="1">
                  <c:v>No Cars Available</c:v>
                </c:pt>
                <c:pt idx="2">
                  <c:v>Cancelled</c:v>
                </c:pt>
              </c:strCache>
            </c:strRef>
          </c:cat>
          <c:val>
            <c:numRef>
              <c:f>'📉 SQL Result Charts'!$B$7:$B$9</c:f>
              <c:numCache>
                <c:formatCode>General</c:formatCode>
                <c:ptCount val="3"/>
                <c:pt idx="0">
                  <c:v>2831</c:v>
                </c:pt>
                <c:pt idx="1">
                  <c:v>2650</c:v>
                </c:pt>
                <c:pt idx="2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80-4DE7-B99A-1ED669D28BE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6932209196838852"/>
          <c:y val="0.7936157407407407"/>
          <c:w val="0.21140352774277657"/>
          <c:h val="0.1594812499999999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Q2: Gap vs Completed by Time Slot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'📉 SQL Result Charts'!$E$6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7AE60"/>
            </a:solidFill>
            <a:ln>
              <a:solidFill>
                <a:srgbClr val="27AE60"/>
              </a:solidFill>
              <a:prstDash val="solid"/>
            </a:ln>
          </c:spPr>
          <c:invertIfNegative val="1"/>
          <c:cat>
            <c:strRef>
              <c:f>'📉 SQL Result Charts'!$D$7:$D$12</c:f>
              <c:strCache>
                <c:ptCount val="6"/>
                <c:pt idx="0">
                  <c:v>Morning</c:v>
                </c:pt>
                <c:pt idx="1">
                  <c:v>Late Night</c:v>
                </c:pt>
                <c:pt idx="2">
                  <c:v>Evening</c:v>
                </c:pt>
                <c:pt idx="3">
                  <c:v>Night</c:v>
                </c:pt>
                <c:pt idx="4">
                  <c:v>Afternoon</c:v>
                </c:pt>
                <c:pt idx="5">
                  <c:v>Early Morning</c:v>
                </c:pt>
              </c:strCache>
            </c:strRef>
          </c:cat>
          <c:val>
            <c:numRef>
              <c:f>'📉 SQL Result Charts'!$E$7:$E$12</c:f>
              <c:numCache>
                <c:formatCode>General</c:formatCode>
                <c:ptCount val="6"/>
                <c:pt idx="0">
                  <c:v>854</c:v>
                </c:pt>
                <c:pt idx="1">
                  <c:v>491</c:v>
                </c:pt>
                <c:pt idx="2">
                  <c:v>432</c:v>
                </c:pt>
                <c:pt idx="3">
                  <c:v>399</c:v>
                </c:pt>
                <c:pt idx="4">
                  <c:v>441</c:v>
                </c:pt>
                <c:pt idx="5">
                  <c:v>214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7AE6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44-4121-BF1E-25570BA9FF31}"/>
            </c:ext>
          </c:extLst>
        </c:ser>
        <c:ser>
          <c:idx val="1"/>
          <c:order val="1"/>
          <c:tx>
            <c:strRef>
              <c:f>'📉 SQL Result Charts'!$F$6</c:f>
              <c:strCache>
                <c:ptCount val="1"/>
                <c:pt idx="0">
                  <c:v>Unfulfilled</c:v>
                </c:pt>
              </c:strCache>
            </c:strRef>
          </c:tx>
          <c: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c:spPr>
          <c:invertIfNegative val="1"/>
          <c:cat>
            <c:strRef>
              <c:f>'📉 SQL Result Charts'!$D$7:$D$12</c:f>
              <c:strCache>
                <c:ptCount val="6"/>
                <c:pt idx="0">
                  <c:v>Morning</c:v>
                </c:pt>
                <c:pt idx="1">
                  <c:v>Late Night</c:v>
                </c:pt>
                <c:pt idx="2">
                  <c:v>Evening</c:v>
                </c:pt>
                <c:pt idx="3">
                  <c:v>Night</c:v>
                </c:pt>
                <c:pt idx="4">
                  <c:v>Afternoon</c:v>
                </c:pt>
                <c:pt idx="5">
                  <c:v>Early Morning</c:v>
                </c:pt>
              </c:strCache>
            </c:strRef>
          </c:cat>
          <c:val>
            <c:numRef>
              <c:f>'📉 SQL Result Charts'!$F$7:$F$12</c:f>
              <c:numCache>
                <c:formatCode>General</c:formatCode>
                <c:ptCount val="6"/>
                <c:pt idx="0">
                  <c:v>1249</c:v>
                </c:pt>
                <c:pt idx="1">
                  <c:v>984</c:v>
                </c:pt>
                <c:pt idx="2">
                  <c:v>452</c:v>
                </c:pt>
                <c:pt idx="3">
                  <c:v>548</c:v>
                </c:pt>
                <c:pt idx="4">
                  <c:v>317</c:v>
                </c:pt>
                <c:pt idx="5">
                  <c:v>364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39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44-4121-BF1E-25570BA9F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Requests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Q4: Cancelled vs No Cars — Top 10 Gap Hours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'📉 SQL Result Charts'!$I$6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c:spPr>
          <c:invertIfNegative val="1"/>
          <c:cat>
            <c:numRef>
              <c:f>'📉 SQL Result Charts'!$H$7:$H$16</c:f>
              <c:numCache>
                <c:formatCode>General</c:formatCode>
                <c:ptCount val="1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17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</c:numCache>
            </c:numRef>
          </c:cat>
          <c:val>
            <c:numRef>
              <c:f>'📉 SQL Result Charts'!$I$7:$I$16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41</c:v>
                </c:pt>
                <c:pt idx="3">
                  <c:v>42</c:v>
                </c:pt>
                <c:pt idx="4">
                  <c:v>35</c:v>
                </c:pt>
                <c:pt idx="5">
                  <c:v>175</c:v>
                </c:pt>
                <c:pt idx="6">
                  <c:v>178</c:v>
                </c:pt>
                <c:pt idx="7">
                  <c:v>176</c:v>
                </c:pt>
                <c:pt idx="8">
                  <c:v>145</c:v>
                </c:pt>
                <c:pt idx="9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392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18-4B14-8921-3CEA83FB4707}"/>
            </c:ext>
          </c:extLst>
        </c:ser>
        <c:ser>
          <c:idx val="1"/>
          <c:order val="1"/>
          <c:tx>
            <c:strRef>
              <c:f>'📉 SQL Result Charts'!$J$6</c:f>
              <c:strCache>
                <c:ptCount val="1"/>
                <c:pt idx="0">
                  <c:v>No_Cars</c:v>
                </c:pt>
              </c:strCache>
            </c:strRef>
          </c:tx>
          <c:spPr>
            <a:solidFill>
              <a:srgbClr val="E67E22"/>
            </a:solidFill>
            <a:ln>
              <a:solidFill>
                <a:srgbClr val="E67E22"/>
              </a:solidFill>
              <a:prstDash val="solid"/>
            </a:ln>
          </c:spPr>
          <c:invertIfNegative val="1"/>
          <c:cat>
            <c:numRef>
              <c:f>'📉 SQL Result Charts'!$H$7:$H$16</c:f>
              <c:numCache>
                <c:formatCode>General</c:formatCode>
                <c:ptCount val="1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17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</c:numCache>
            </c:numRef>
          </c:cat>
          <c:val>
            <c:numRef>
              <c:f>'📉 SQL Result Charts'!$J$7:$J$16</c:f>
              <c:numCache>
                <c:formatCode>General</c:formatCode>
                <c:ptCount val="10"/>
                <c:pt idx="0">
                  <c:v>322</c:v>
                </c:pt>
                <c:pt idx="1">
                  <c:v>283</c:v>
                </c:pt>
                <c:pt idx="2">
                  <c:v>290</c:v>
                </c:pt>
                <c:pt idx="3">
                  <c:v>265</c:v>
                </c:pt>
                <c:pt idx="4">
                  <c:v>232</c:v>
                </c:pt>
                <c:pt idx="5">
                  <c:v>83</c:v>
                </c:pt>
                <c:pt idx="6">
                  <c:v>90</c:v>
                </c:pt>
                <c:pt idx="7">
                  <c:v>84</c:v>
                </c:pt>
                <c:pt idx="8">
                  <c:v>86</c:v>
                </c:pt>
                <c:pt idx="9">
                  <c:v>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67E2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18-4B14-8921-3CEA83FB4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Q11: Cumulative Gap % by Hour (Window Function)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'📉 SQL Result Charts'!$N$6</c:f>
              <c:strCache>
                <c:ptCount val="1"/>
                <c:pt idx="0">
                  <c:v>Cumulative_Gap_Pct</c:v>
                </c:pt>
              </c:strCache>
            </c:strRef>
          </c:tx>
          <c:spPr>
            <a:ln w="25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numRef>
              <c:f>'📉 SQL Result Charts'!$L$7:$L$30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'📉 SQL Result Charts'!$N$7:$N$30</c:f>
              <c:numCache>
                <c:formatCode>General</c:formatCode>
                <c:ptCount val="24"/>
                <c:pt idx="0">
                  <c:v>1.5</c:v>
                </c:pt>
                <c:pt idx="1">
                  <c:v>3</c:v>
                </c:pt>
                <c:pt idx="2">
                  <c:v>4.5999999999999996</c:v>
                </c:pt>
                <c:pt idx="3">
                  <c:v>6.1</c:v>
                </c:pt>
                <c:pt idx="4">
                  <c:v>9.3000000000000007</c:v>
                </c:pt>
                <c:pt idx="5">
                  <c:v>15.9</c:v>
                </c:pt>
                <c:pt idx="6">
                  <c:v>21.8</c:v>
                </c:pt>
                <c:pt idx="7">
                  <c:v>27.8</c:v>
                </c:pt>
                <c:pt idx="8">
                  <c:v>34.6</c:v>
                </c:pt>
                <c:pt idx="9">
                  <c:v>41.2</c:v>
                </c:pt>
                <c:pt idx="10">
                  <c:v>44.5</c:v>
                </c:pt>
                <c:pt idx="11">
                  <c:v>45.9</c:v>
                </c:pt>
                <c:pt idx="12">
                  <c:v>47.5</c:v>
                </c:pt>
                <c:pt idx="13">
                  <c:v>49.3</c:v>
                </c:pt>
                <c:pt idx="14">
                  <c:v>50.5</c:v>
                </c:pt>
                <c:pt idx="15">
                  <c:v>52.3</c:v>
                </c:pt>
                <c:pt idx="16">
                  <c:v>54</c:v>
                </c:pt>
                <c:pt idx="17">
                  <c:v>60.9</c:v>
                </c:pt>
                <c:pt idx="18">
                  <c:v>69.7</c:v>
                </c:pt>
                <c:pt idx="19">
                  <c:v>77.5</c:v>
                </c:pt>
                <c:pt idx="20">
                  <c:v>86</c:v>
                </c:pt>
                <c:pt idx="21">
                  <c:v>93.8</c:v>
                </c:pt>
                <c:pt idx="22">
                  <c:v>97.7</c:v>
                </c:pt>
                <c:pt idx="23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7B-4A2B-9EB4-BD6CF563C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Cumulative Gap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Q11: Hourly Gap Count (Unfulfilled Requests)</a:t>
            </a:r>
          </a:p>
        </c:rich>
      </c:tx>
      <c:layout>
        <c:manualLayout>
          <c:xMode val="edge"/>
          <c:yMode val="edge"/>
          <c:x val="0.35719479166666668"/>
          <c:y val="2.3518518518518518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'📉 SQL Result Charts'!$M$6</c:f>
              <c:strCache>
                <c:ptCount val="1"/>
                <c:pt idx="0">
                  <c:v>Hourly_Gap</c:v>
                </c:pt>
              </c:strCache>
            </c:strRef>
          </c:tx>
          <c:spPr>
            <a:solidFill>
              <a:srgbClr val="E67E22"/>
            </a:solidFill>
            <a:ln>
              <a:solidFill>
                <a:srgbClr val="E67E22"/>
              </a:solidFill>
              <a:prstDash val="solid"/>
            </a:ln>
          </c:spPr>
          <c:invertIfNegative val="1"/>
          <c:cat>
            <c:numRef>
              <c:f>'📉 SQL Result Charts'!$L$7:$L$30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'📉 SQL Result Charts'!$M$7:$M$30</c:f>
              <c:numCache>
                <c:formatCode>General</c:formatCode>
                <c:ptCount val="24"/>
                <c:pt idx="0">
                  <c:v>59</c:v>
                </c:pt>
                <c:pt idx="1">
                  <c:v>60</c:v>
                </c:pt>
                <c:pt idx="2">
                  <c:v>62</c:v>
                </c:pt>
                <c:pt idx="3">
                  <c:v>58</c:v>
                </c:pt>
                <c:pt idx="4">
                  <c:v>125</c:v>
                </c:pt>
                <c:pt idx="5">
                  <c:v>260</c:v>
                </c:pt>
                <c:pt idx="6">
                  <c:v>231</c:v>
                </c:pt>
                <c:pt idx="7">
                  <c:v>232</c:v>
                </c:pt>
                <c:pt idx="8">
                  <c:v>268</c:v>
                </c:pt>
                <c:pt idx="9">
                  <c:v>258</c:v>
                </c:pt>
                <c:pt idx="10">
                  <c:v>127</c:v>
                </c:pt>
                <c:pt idx="11">
                  <c:v>56</c:v>
                </c:pt>
                <c:pt idx="12">
                  <c:v>63</c:v>
                </c:pt>
                <c:pt idx="13">
                  <c:v>71</c:v>
                </c:pt>
                <c:pt idx="14">
                  <c:v>48</c:v>
                </c:pt>
                <c:pt idx="15">
                  <c:v>69</c:v>
                </c:pt>
                <c:pt idx="16">
                  <c:v>68</c:v>
                </c:pt>
                <c:pt idx="17">
                  <c:v>267</c:v>
                </c:pt>
                <c:pt idx="18">
                  <c:v>346</c:v>
                </c:pt>
                <c:pt idx="19">
                  <c:v>307</c:v>
                </c:pt>
                <c:pt idx="20">
                  <c:v>331</c:v>
                </c:pt>
                <c:pt idx="21">
                  <c:v>307</c:v>
                </c:pt>
                <c:pt idx="22">
                  <c:v>150</c:v>
                </c:pt>
                <c:pt idx="23">
                  <c:v>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67E2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C8-4FF6-96CC-02EE4D034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Unfulfilled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271246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277905</xdr:colOff>
      <xdr:row>15</xdr:row>
      <xdr:rowOff>0</xdr:rowOff>
    </xdr:from>
    <xdr:ext cx="5365553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152400</xdr:colOff>
      <xdr:row>14</xdr:row>
      <xdr:rowOff>125507</xdr:rowOff>
    </xdr:from>
    <xdr:ext cx="576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277906</xdr:colOff>
      <xdr:row>41</xdr:row>
      <xdr:rowOff>26893</xdr:rowOff>
    </xdr:from>
    <xdr:ext cx="648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11</xdr:col>
      <xdr:colOff>17929</xdr:colOff>
      <xdr:row>40</xdr:row>
      <xdr:rowOff>80682</xdr:rowOff>
    </xdr:from>
    <xdr:ext cx="864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topLeftCell="A24" zoomScale="90" workbookViewId="0">
      <selection activeCell="E4" sqref="E1:E1048576"/>
    </sheetView>
  </sheetViews>
  <sheetFormatPr defaultRowHeight="14.4" x14ac:dyDescent="0.3"/>
  <cols>
    <col min="1" max="1" width="10.77734375" customWidth="1"/>
    <col min="2" max="2" width="34" customWidth="1"/>
    <col min="3" max="3" width="18" customWidth="1"/>
    <col min="4" max="4" width="70.6640625" customWidth="1"/>
    <col min="5" max="5" width="18" customWidth="1"/>
    <col min="6" max="14" width="4" customWidth="1"/>
  </cols>
  <sheetData>
    <row r="1" spans="1:14" ht="36" customHeight="1" x14ac:dyDescent="0.3">
      <c r="A1" s="58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4.95" customHeight="1" x14ac:dyDescent="0.3">
      <c r="A2" s="57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8.05" customHeight="1" x14ac:dyDescent="0.3">
      <c r="A3" s="56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ht="7.95" customHeight="1" x14ac:dyDescent="0.3"/>
    <row r="5" spans="1:14" ht="25.95" customHeight="1" x14ac:dyDescent="0.3">
      <c r="A5" s="54" t="s">
        <v>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1:14" ht="24" customHeight="1" x14ac:dyDescent="0.3">
      <c r="A6" s="1" t="s">
        <v>3</v>
      </c>
      <c r="B6" s="1" t="s">
        <v>4</v>
      </c>
      <c r="C6" s="1" t="s">
        <v>5</v>
      </c>
      <c r="D6" s="1" t="s">
        <v>6</v>
      </c>
    </row>
    <row r="7" spans="1:14" ht="19.95" customHeight="1" x14ac:dyDescent="0.3">
      <c r="A7" s="2" t="s">
        <v>7</v>
      </c>
      <c r="B7" s="2" t="s">
        <v>8</v>
      </c>
      <c r="C7" s="2" t="s">
        <v>9</v>
      </c>
      <c r="D7" s="2" t="s">
        <v>10</v>
      </c>
    </row>
    <row r="8" spans="1:14" ht="19.95" customHeight="1" x14ac:dyDescent="0.3">
      <c r="A8" s="3" t="s">
        <v>11</v>
      </c>
      <c r="B8" s="3" t="s">
        <v>12</v>
      </c>
      <c r="C8" s="3" t="s">
        <v>9</v>
      </c>
      <c r="D8" s="3" t="s">
        <v>13</v>
      </c>
    </row>
    <row r="9" spans="1:14" ht="19.95" customHeight="1" x14ac:dyDescent="0.3">
      <c r="A9" s="2" t="s">
        <v>14</v>
      </c>
      <c r="B9" s="2" t="s">
        <v>8</v>
      </c>
      <c r="C9" s="2" t="s">
        <v>9</v>
      </c>
      <c r="D9" s="2" t="s">
        <v>15</v>
      </c>
    </row>
    <row r="10" spans="1:14" ht="19.95" customHeight="1" x14ac:dyDescent="0.3">
      <c r="A10" s="3" t="s">
        <v>16</v>
      </c>
      <c r="B10" s="3" t="s">
        <v>12</v>
      </c>
      <c r="C10" s="3" t="s">
        <v>9</v>
      </c>
      <c r="D10" s="3" t="s">
        <v>17</v>
      </c>
    </row>
    <row r="11" spans="1:14" ht="19.95" customHeight="1" x14ac:dyDescent="0.3">
      <c r="A11" s="2" t="s">
        <v>18</v>
      </c>
      <c r="B11" s="2" t="s">
        <v>8</v>
      </c>
      <c r="C11" s="2" t="s">
        <v>9</v>
      </c>
      <c r="D11" s="2" t="s">
        <v>19</v>
      </c>
    </row>
    <row r="12" spans="1:14" ht="19.95" customHeight="1" x14ac:dyDescent="0.3">
      <c r="A12" s="3" t="s">
        <v>20</v>
      </c>
      <c r="B12" s="3" t="s">
        <v>12</v>
      </c>
      <c r="C12" s="3" t="s">
        <v>9</v>
      </c>
      <c r="D12" s="3" t="s">
        <v>21</v>
      </c>
    </row>
    <row r="13" spans="1:14" ht="19.95" customHeight="1" x14ac:dyDescent="0.3">
      <c r="A13" s="2" t="s">
        <v>22</v>
      </c>
      <c r="B13" s="2" t="s">
        <v>12</v>
      </c>
      <c r="C13" s="2" t="s">
        <v>9</v>
      </c>
      <c r="D13" s="2" t="s">
        <v>23</v>
      </c>
    </row>
    <row r="14" spans="1:14" ht="19.95" customHeight="1" x14ac:dyDescent="0.3">
      <c r="A14" s="3" t="s">
        <v>24</v>
      </c>
      <c r="B14" s="3" t="s">
        <v>12</v>
      </c>
      <c r="C14" s="3" t="s">
        <v>9</v>
      </c>
      <c r="D14" s="3" t="s">
        <v>25</v>
      </c>
    </row>
    <row r="15" spans="1:14" ht="19.95" customHeight="1" x14ac:dyDescent="0.3">
      <c r="A15" s="2" t="s">
        <v>26</v>
      </c>
      <c r="B15" s="2" t="s">
        <v>8</v>
      </c>
      <c r="C15" s="2" t="s">
        <v>9</v>
      </c>
      <c r="D15" s="2" t="s">
        <v>27</v>
      </c>
    </row>
    <row r="16" spans="1:14" ht="19.95" customHeight="1" x14ac:dyDescent="0.3">
      <c r="A16" s="3" t="s">
        <v>28</v>
      </c>
      <c r="B16" s="3" t="s">
        <v>29</v>
      </c>
      <c r="C16" s="3" t="s">
        <v>30</v>
      </c>
      <c r="D16" s="3" t="s">
        <v>31</v>
      </c>
    </row>
    <row r="17" spans="1:14" ht="7.95" customHeight="1" x14ac:dyDescent="0.3"/>
    <row r="18" spans="1:14" ht="25.95" customHeight="1" x14ac:dyDescent="0.3">
      <c r="A18" s="54" t="s">
        <v>32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4" ht="24" customHeight="1" x14ac:dyDescent="0.3">
      <c r="A19" s="1" t="s">
        <v>33</v>
      </c>
      <c r="B19" s="1" t="s">
        <v>34</v>
      </c>
      <c r="C19" s="1" t="s">
        <v>35</v>
      </c>
      <c r="D19" s="1" t="s">
        <v>36</v>
      </c>
      <c r="E19" s="1" t="s">
        <v>37</v>
      </c>
    </row>
    <row r="20" spans="1:14" ht="22.05" customHeight="1" x14ac:dyDescent="0.3">
      <c r="A20" s="4" t="s">
        <v>38</v>
      </c>
      <c r="B20" s="5" t="s">
        <v>39</v>
      </c>
      <c r="C20" s="6" t="s">
        <v>40</v>
      </c>
      <c r="D20" s="5" t="s">
        <v>41</v>
      </c>
      <c r="E20" s="6" t="s">
        <v>42</v>
      </c>
    </row>
    <row r="21" spans="1:14" ht="22.05" customHeight="1" x14ac:dyDescent="0.3">
      <c r="A21" s="7" t="s">
        <v>43</v>
      </c>
      <c r="B21" s="8" t="s">
        <v>44</v>
      </c>
      <c r="C21" s="9" t="s">
        <v>45</v>
      </c>
      <c r="D21" s="8" t="s">
        <v>46</v>
      </c>
      <c r="E21" s="9" t="s">
        <v>42</v>
      </c>
    </row>
    <row r="22" spans="1:14" ht="22.05" customHeight="1" x14ac:dyDescent="0.3">
      <c r="A22" s="10" t="s">
        <v>47</v>
      </c>
      <c r="B22" s="11" t="s">
        <v>48</v>
      </c>
      <c r="C22" s="12" t="s">
        <v>49</v>
      </c>
      <c r="D22" s="11" t="s">
        <v>50</v>
      </c>
      <c r="E22" s="12" t="s">
        <v>42</v>
      </c>
    </row>
    <row r="23" spans="1:14" ht="22.05" customHeight="1" x14ac:dyDescent="0.3">
      <c r="A23" s="7" t="s">
        <v>51</v>
      </c>
      <c r="B23" s="8" t="s">
        <v>52</v>
      </c>
      <c r="C23" s="9" t="s">
        <v>45</v>
      </c>
      <c r="D23" s="8" t="s">
        <v>53</v>
      </c>
      <c r="E23" s="9" t="s">
        <v>42</v>
      </c>
    </row>
    <row r="24" spans="1:14" ht="22.05" customHeight="1" x14ac:dyDescent="0.3">
      <c r="A24" s="13" t="s">
        <v>54</v>
      </c>
      <c r="B24" s="14" t="s">
        <v>55</v>
      </c>
      <c r="C24" s="15" t="s">
        <v>56</v>
      </c>
      <c r="D24" s="14" t="s">
        <v>57</v>
      </c>
      <c r="E24" s="15" t="s">
        <v>58</v>
      </c>
    </row>
    <row r="25" spans="1:14" ht="22.05" customHeight="1" x14ac:dyDescent="0.3">
      <c r="A25" s="16" t="s">
        <v>59</v>
      </c>
      <c r="B25" s="17" t="s">
        <v>60</v>
      </c>
      <c r="C25" s="18" t="s">
        <v>61</v>
      </c>
      <c r="D25" s="17" t="s">
        <v>62</v>
      </c>
      <c r="E25" s="18" t="s">
        <v>58</v>
      </c>
    </row>
    <row r="26" spans="1:14" ht="22.05" customHeight="1" x14ac:dyDescent="0.3">
      <c r="A26" s="19" t="s">
        <v>63</v>
      </c>
      <c r="B26" s="20" t="s">
        <v>64</v>
      </c>
      <c r="C26" s="21" t="s">
        <v>65</v>
      </c>
      <c r="D26" s="20" t="s">
        <v>66</v>
      </c>
      <c r="E26" s="21" t="s">
        <v>58</v>
      </c>
    </row>
    <row r="27" spans="1:14" ht="22.05" customHeight="1" x14ac:dyDescent="0.3">
      <c r="A27" s="22" t="s">
        <v>67</v>
      </c>
      <c r="B27" s="23" t="s">
        <v>68</v>
      </c>
      <c r="C27" s="24" t="s">
        <v>69</v>
      </c>
      <c r="D27" s="23" t="s">
        <v>70</v>
      </c>
      <c r="E27" s="24" t="s">
        <v>58</v>
      </c>
    </row>
    <row r="28" spans="1:14" ht="22.05" customHeight="1" x14ac:dyDescent="0.3">
      <c r="A28" s="25" t="s">
        <v>71</v>
      </c>
      <c r="B28" s="26" t="s">
        <v>72</v>
      </c>
      <c r="C28" s="27" t="s">
        <v>73</v>
      </c>
      <c r="D28" s="26" t="s">
        <v>74</v>
      </c>
      <c r="E28" s="27" t="s">
        <v>75</v>
      </c>
    </row>
    <row r="29" spans="1:14" ht="22.05" customHeight="1" x14ac:dyDescent="0.3">
      <c r="A29" s="28" t="s">
        <v>76</v>
      </c>
      <c r="B29" s="29" t="s">
        <v>77</v>
      </c>
      <c r="C29" s="30" t="s">
        <v>78</v>
      </c>
      <c r="D29" s="29" t="s">
        <v>79</v>
      </c>
      <c r="E29" s="30" t="s">
        <v>75</v>
      </c>
    </row>
    <row r="30" spans="1:14" ht="22.05" customHeight="1" x14ac:dyDescent="0.3">
      <c r="A30" s="31" t="s">
        <v>80</v>
      </c>
      <c r="B30" s="32" t="s">
        <v>81</v>
      </c>
      <c r="C30" s="33" t="s">
        <v>82</v>
      </c>
      <c r="D30" s="32" t="s">
        <v>83</v>
      </c>
      <c r="E30" s="33" t="s">
        <v>75</v>
      </c>
    </row>
    <row r="31" spans="1:14" ht="22.05" customHeight="1" x14ac:dyDescent="0.3">
      <c r="A31" s="34" t="s">
        <v>84</v>
      </c>
      <c r="B31" s="35" t="s">
        <v>85</v>
      </c>
      <c r="C31" s="36" t="s">
        <v>86</v>
      </c>
      <c r="D31" s="35" t="s">
        <v>87</v>
      </c>
      <c r="E31" s="36" t="s">
        <v>75</v>
      </c>
    </row>
  </sheetData>
  <mergeCells count="5">
    <mergeCell ref="A18:N18"/>
    <mergeCell ref="A3:N3"/>
    <mergeCell ref="A2:N2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"/>
  <sheetViews>
    <sheetView showGridLines="0" topLeftCell="A89" zoomScale="85" workbookViewId="0">
      <selection sqref="A1:T1"/>
    </sheetView>
  </sheetViews>
  <sheetFormatPr defaultRowHeight="14.4" x14ac:dyDescent="0.3"/>
  <cols>
    <col min="1" max="1" width="42" customWidth="1"/>
    <col min="2" max="10" width="4" customWidth="1"/>
    <col min="11" max="11" width="3" customWidth="1"/>
    <col min="12" max="12" width="18" customWidth="1"/>
    <col min="13" max="15" width="12" customWidth="1"/>
    <col min="16" max="17" width="14" customWidth="1"/>
    <col min="18" max="20" width="12" customWidth="1"/>
  </cols>
  <sheetData>
    <row r="1" spans="1:20" ht="36" customHeight="1" x14ac:dyDescent="0.3">
      <c r="A1" s="58" t="s">
        <v>88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4.95" customHeight="1" x14ac:dyDescent="0.3">
      <c r="A2" s="57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7.95" customHeight="1" x14ac:dyDescent="0.3"/>
    <row r="4" spans="1:20" ht="25.95" customHeight="1" x14ac:dyDescent="0.3">
      <c r="A4" s="54" t="s">
        <v>89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ht="19.95" customHeight="1" x14ac:dyDescent="0.3">
      <c r="A5" s="60" t="s">
        <v>90</v>
      </c>
      <c r="B5" s="55"/>
      <c r="C5" s="55"/>
      <c r="D5" s="55"/>
      <c r="E5" s="55"/>
      <c r="F5" s="55"/>
      <c r="G5" s="55"/>
      <c r="H5" s="55"/>
      <c r="I5" s="55"/>
      <c r="J5" s="55"/>
    </row>
    <row r="6" spans="1:20" ht="18" customHeight="1" x14ac:dyDescent="0.3">
      <c r="A6" s="59" t="s">
        <v>91</v>
      </c>
      <c r="B6" s="55"/>
      <c r="C6" s="55"/>
      <c r="D6" s="55"/>
      <c r="E6" s="55"/>
      <c r="F6" s="55"/>
      <c r="G6" s="55"/>
      <c r="H6" s="55"/>
      <c r="I6" s="55"/>
      <c r="J6" s="55"/>
    </row>
    <row r="7" spans="1:20" ht="18" customHeight="1" x14ac:dyDescent="0.3">
      <c r="A7" s="62" t="s">
        <v>92</v>
      </c>
      <c r="B7" s="55"/>
      <c r="C7" s="55"/>
      <c r="D7" s="55"/>
      <c r="E7" s="55"/>
      <c r="F7" s="55"/>
      <c r="G7" s="55"/>
      <c r="H7" s="55"/>
      <c r="I7" s="55"/>
      <c r="J7" s="55"/>
    </row>
    <row r="8" spans="1:20" ht="18" customHeight="1" x14ac:dyDescent="0.3">
      <c r="A8" s="61" t="s">
        <v>93</v>
      </c>
      <c r="B8" s="55"/>
      <c r="C8" s="55"/>
      <c r="D8" s="55"/>
      <c r="E8" s="55"/>
      <c r="F8" s="55"/>
      <c r="G8" s="55"/>
      <c r="H8" s="55"/>
      <c r="I8" s="55"/>
      <c r="J8" s="55"/>
    </row>
    <row r="9" spans="1:20" ht="18" customHeight="1" x14ac:dyDescent="0.3">
      <c r="A9" s="61" t="s">
        <v>94</v>
      </c>
      <c r="B9" s="55"/>
      <c r="C9" s="55"/>
      <c r="D9" s="55"/>
      <c r="E9" s="55"/>
      <c r="F9" s="55"/>
      <c r="G9" s="55"/>
      <c r="H9" s="55"/>
      <c r="I9" s="55"/>
      <c r="J9" s="55"/>
    </row>
    <row r="10" spans="1:20" ht="18" customHeight="1" x14ac:dyDescent="0.3">
      <c r="A10" s="59" t="s">
        <v>95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20" ht="18" customHeight="1" x14ac:dyDescent="0.3">
      <c r="A11" s="62" t="s">
        <v>96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20" ht="18" customHeight="1" x14ac:dyDescent="0.3">
      <c r="A12" s="62" t="s">
        <v>97</v>
      </c>
      <c r="B12" s="55"/>
      <c r="C12" s="55"/>
      <c r="D12" s="55"/>
      <c r="E12" s="55"/>
      <c r="F12" s="55"/>
      <c r="G12" s="55"/>
      <c r="H12" s="55"/>
      <c r="I12" s="55"/>
      <c r="J12" s="55"/>
    </row>
    <row r="13" spans="1:20" ht="18" customHeight="1" x14ac:dyDescent="0.3">
      <c r="A13" s="62" t="s">
        <v>98</v>
      </c>
      <c r="B13" s="55"/>
      <c r="C13" s="55"/>
      <c r="D13" s="55"/>
      <c r="E13" s="55"/>
      <c r="F13" s="55"/>
      <c r="G13" s="55"/>
      <c r="H13" s="55"/>
      <c r="I13" s="55"/>
      <c r="J13" s="55"/>
    </row>
    <row r="14" spans="1:20" ht="18" customHeight="1" x14ac:dyDescent="0.3">
      <c r="A14" s="62" t="s">
        <v>99</v>
      </c>
      <c r="B14" s="55"/>
      <c r="C14" s="55"/>
      <c r="D14" s="55"/>
      <c r="E14" s="55"/>
      <c r="F14" s="55"/>
      <c r="G14" s="55"/>
      <c r="H14" s="55"/>
      <c r="I14" s="55"/>
      <c r="J14" s="55"/>
    </row>
    <row r="15" spans="1:20" ht="18" customHeight="1" x14ac:dyDescent="0.3">
      <c r="A15" s="59" t="s">
        <v>100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20" ht="18" customHeight="1" x14ac:dyDescent="0.3">
      <c r="A16" s="59" t="s">
        <v>101</v>
      </c>
      <c r="B16" s="55"/>
      <c r="C16" s="55"/>
      <c r="D16" s="55"/>
      <c r="E16" s="55"/>
      <c r="F16" s="55"/>
      <c r="G16" s="55"/>
      <c r="H16" s="55"/>
      <c r="I16" s="55"/>
      <c r="J16" s="55"/>
    </row>
    <row r="17" spans="1:20" ht="18" customHeight="1" x14ac:dyDescent="0.3">
      <c r="A17" s="59" t="s">
        <v>102</v>
      </c>
      <c r="B17" s="55"/>
      <c r="C17" s="55"/>
      <c r="D17" s="55"/>
      <c r="E17" s="55"/>
      <c r="F17" s="55"/>
      <c r="G17" s="55"/>
      <c r="H17" s="55"/>
      <c r="I17" s="55"/>
      <c r="J17" s="55"/>
    </row>
    <row r="18" spans="1:20" ht="4.05" customHeight="1" x14ac:dyDescent="0.3"/>
    <row r="19" spans="1:20" ht="30" customHeight="1" x14ac:dyDescent="0.3">
      <c r="A19" s="64" t="s">
        <v>103</v>
      </c>
      <c r="B19" s="55"/>
      <c r="C19" s="55"/>
      <c r="D19" s="55"/>
      <c r="E19" s="55"/>
      <c r="F19" s="55"/>
      <c r="G19" s="55"/>
      <c r="H19" s="55"/>
      <c r="I19" s="55"/>
      <c r="J19" s="55"/>
      <c r="L19" s="63" t="s">
        <v>104</v>
      </c>
      <c r="M19" s="55"/>
      <c r="N19" s="55"/>
      <c r="O19" s="55"/>
      <c r="P19" s="55"/>
      <c r="Q19" s="55"/>
      <c r="R19" s="55"/>
      <c r="S19" s="55"/>
      <c r="T19" s="55"/>
    </row>
    <row r="20" spans="1:20" ht="24" customHeight="1" x14ac:dyDescent="0.3">
      <c r="L20" s="1" t="s">
        <v>16</v>
      </c>
      <c r="M20" s="1" t="s">
        <v>105</v>
      </c>
      <c r="N20" s="1" t="s">
        <v>106</v>
      </c>
      <c r="O20" s="1" t="s">
        <v>107</v>
      </c>
    </row>
    <row r="21" spans="1:20" ht="19.95" customHeight="1" x14ac:dyDescent="0.3">
      <c r="L21" s="9" t="s">
        <v>108</v>
      </c>
      <c r="M21" s="9">
        <v>2831</v>
      </c>
      <c r="N21" s="9">
        <v>41.97</v>
      </c>
      <c r="O21" s="9" t="s">
        <v>109</v>
      </c>
    </row>
    <row r="22" spans="1:20" ht="19.95" customHeight="1" x14ac:dyDescent="0.3">
      <c r="L22" s="12" t="s">
        <v>110</v>
      </c>
      <c r="M22" s="12">
        <v>2650</v>
      </c>
      <c r="N22" s="12">
        <v>39.29</v>
      </c>
      <c r="O22" s="12" t="s">
        <v>111</v>
      </c>
    </row>
    <row r="23" spans="1:20" ht="19.95" customHeight="1" x14ac:dyDescent="0.3">
      <c r="L23" s="21" t="s">
        <v>112</v>
      </c>
      <c r="M23" s="21">
        <v>1264</v>
      </c>
      <c r="N23" s="21">
        <v>18.739999999999998</v>
      </c>
      <c r="O23" s="21" t="s">
        <v>113</v>
      </c>
    </row>
    <row r="25" spans="1:20" ht="7.95" customHeight="1" x14ac:dyDescent="0.3"/>
    <row r="26" spans="1:20" ht="25.95" customHeight="1" x14ac:dyDescent="0.3">
      <c r="A26" s="54" t="s">
        <v>114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</row>
    <row r="27" spans="1:20" ht="19.95" customHeight="1" x14ac:dyDescent="0.3">
      <c r="A27" s="60" t="s">
        <v>115</v>
      </c>
      <c r="B27" s="55"/>
      <c r="C27" s="55"/>
      <c r="D27" s="55"/>
      <c r="E27" s="55"/>
      <c r="F27" s="55"/>
      <c r="G27" s="55"/>
      <c r="H27" s="55"/>
      <c r="I27" s="55"/>
      <c r="J27" s="55"/>
    </row>
    <row r="28" spans="1:20" ht="18" customHeight="1" x14ac:dyDescent="0.3">
      <c r="A28" s="59" t="s">
        <v>91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20" ht="18" customHeight="1" x14ac:dyDescent="0.3">
      <c r="A29" s="62" t="s">
        <v>116</v>
      </c>
      <c r="B29" s="55"/>
      <c r="C29" s="55"/>
      <c r="D29" s="55"/>
      <c r="E29" s="55"/>
      <c r="F29" s="55"/>
      <c r="G29" s="55"/>
      <c r="H29" s="55"/>
      <c r="I29" s="55"/>
      <c r="J29" s="55"/>
    </row>
    <row r="30" spans="1:20" ht="18" customHeight="1" x14ac:dyDescent="0.3">
      <c r="A30" s="61" t="s">
        <v>117</v>
      </c>
      <c r="B30" s="55"/>
      <c r="C30" s="55"/>
      <c r="D30" s="55"/>
      <c r="E30" s="55"/>
      <c r="F30" s="55"/>
      <c r="G30" s="55"/>
      <c r="H30" s="55"/>
      <c r="I30" s="55"/>
      <c r="J30" s="55"/>
    </row>
    <row r="31" spans="1:20" ht="18" customHeight="1" x14ac:dyDescent="0.3">
      <c r="A31" s="61" t="s">
        <v>118</v>
      </c>
      <c r="B31" s="55"/>
      <c r="C31" s="55"/>
      <c r="D31" s="55"/>
      <c r="E31" s="55"/>
      <c r="F31" s="55"/>
      <c r="G31" s="55"/>
      <c r="H31" s="55"/>
      <c r="I31" s="55"/>
      <c r="J31" s="55"/>
    </row>
    <row r="32" spans="1:20" ht="18" customHeight="1" x14ac:dyDescent="0.3">
      <c r="A32" s="61" t="s">
        <v>119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20" ht="18" customHeight="1" x14ac:dyDescent="0.3">
      <c r="A33" s="61" t="s">
        <v>120</v>
      </c>
      <c r="B33" s="55"/>
      <c r="C33" s="55"/>
      <c r="D33" s="55"/>
      <c r="E33" s="55"/>
      <c r="F33" s="55"/>
      <c r="G33" s="55"/>
      <c r="H33" s="55"/>
      <c r="I33" s="55"/>
      <c r="J33" s="55"/>
    </row>
    <row r="34" spans="1:20" ht="18" customHeight="1" x14ac:dyDescent="0.3">
      <c r="A34" s="61" t="s">
        <v>121</v>
      </c>
      <c r="B34" s="55"/>
      <c r="C34" s="55"/>
      <c r="D34" s="55"/>
      <c r="E34" s="55"/>
      <c r="F34" s="55"/>
      <c r="G34" s="55"/>
      <c r="H34" s="55"/>
      <c r="I34" s="55"/>
      <c r="J34" s="55"/>
    </row>
    <row r="35" spans="1:20" ht="18" customHeight="1" x14ac:dyDescent="0.3">
      <c r="A35" s="59" t="s">
        <v>100</v>
      </c>
      <c r="B35" s="55"/>
      <c r="C35" s="55"/>
      <c r="D35" s="55"/>
      <c r="E35" s="55"/>
      <c r="F35" s="55"/>
      <c r="G35" s="55"/>
      <c r="H35" s="55"/>
      <c r="I35" s="55"/>
      <c r="J35" s="55"/>
    </row>
    <row r="36" spans="1:20" ht="18" customHeight="1" x14ac:dyDescent="0.3">
      <c r="A36" s="59" t="s">
        <v>122</v>
      </c>
      <c r="B36" s="55"/>
      <c r="C36" s="55"/>
      <c r="D36" s="55"/>
      <c r="E36" s="55"/>
      <c r="F36" s="55"/>
      <c r="G36" s="55"/>
      <c r="H36" s="55"/>
      <c r="I36" s="55"/>
      <c r="J36" s="55"/>
    </row>
    <row r="37" spans="1:20" ht="18" customHeight="1" x14ac:dyDescent="0.3">
      <c r="A37" s="59" t="s">
        <v>123</v>
      </c>
      <c r="B37" s="55"/>
      <c r="C37" s="55"/>
      <c r="D37" s="55"/>
      <c r="E37" s="55"/>
      <c r="F37" s="55"/>
      <c r="G37" s="55"/>
      <c r="H37" s="55"/>
      <c r="I37" s="55"/>
      <c r="J37" s="55"/>
    </row>
    <row r="38" spans="1:20" ht="4.05" customHeight="1" x14ac:dyDescent="0.3"/>
    <row r="39" spans="1:20" ht="30" customHeight="1" x14ac:dyDescent="0.3">
      <c r="A39" s="64" t="s">
        <v>124</v>
      </c>
      <c r="B39" s="55"/>
      <c r="C39" s="55"/>
      <c r="D39" s="55"/>
      <c r="E39" s="55"/>
      <c r="F39" s="55"/>
      <c r="G39" s="55"/>
      <c r="H39" s="55"/>
      <c r="I39" s="55"/>
      <c r="J39" s="55"/>
      <c r="L39" s="63" t="s">
        <v>125</v>
      </c>
      <c r="M39" s="55"/>
      <c r="N39" s="55"/>
      <c r="O39" s="55"/>
      <c r="P39" s="55"/>
      <c r="Q39" s="55"/>
      <c r="R39" s="55"/>
      <c r="S39" s="55"/>
      <c r="T39" s="55"/>
    </row>
    <row r="40" spans="1:20" ht="24" customHeight="1" x14ac:dyDescent="0.3">
      <c r="L40" s="1" t="s">
        <v>24</v>
      </c>
      <c r="M40" s="1" t="s">
        <v>105</v>
      </c>
      <c r="N40" s="1" t="s">
        <v>126</v>
      </c>
      <c r="O40" s="1" t="s">
        <v>127</v>
      </c>
      <c r="P40" s="1" t="s">
        <v>128</v>
      </c>
      <c r="Q40" s="1" t="s">
        <v>129</v>
      </c>
    </row>
    <row r="41" spans="1:20" ht="19.95" customHeight="1" x14ac:dyDescent="0.3">
      <c r="L41" s="2" t="s">
        <v>130</v>
      </c>
      <c r="M41" s="2">
        <v>2103</v>
      </c>
      <c r="N41" s="2">
        <v>1249</v>
      </c>
      <c r="O41" s="2">
        <v>854</v>
      </c>
      <c r="P41" s="2">
        <v>59.4</v>
      </c>
      <c r="Q41" s="2">
        <v>40.6</v>
      </c>
    </row>
    <row r="42" spans="1:20" ht="19.95" customHeight="1" x14ac:dyDescent="0.3">
      <c r="L42" s="3" t="s">
        <v>131</v>
      </c>
      <c r="M42" s="3">
        <v>1475</v>
      </c>
      <c r="N42" s="3">
        <v>984</v>
      </c>
      <c r="O42" s="3">
        <v>491</v>
      </c>
      <c r="P42" s="3">
        <v>66.7</v>
      </c>
      <c r="Q42" s="3">
        <v>33.299999999999997</v>
      </c>
    </row>
    <row r="43" spans="1:20" ht="19.95" customHeight="1" x14ac:dyDescent="0.3">
      <c r="L43" s="2" t="s">
        <v>132</v>
      </c>
      <c r="M43" s="2">
        <v>947</v>
      </c>
      <c r="N43" s="2">
        <v>548</v>
      </c>
      <c r="O43" s="2">
        <v>399</v>
      </c>
      <c r="P43" s="2">
        <v>57.9</v>
      </c>
      <c r="Q43" s="2">
        <v>42.1</v>
      </c>
    </row>
    <row r="44" spans="1:20" ht="19.95" customHeight="1" x14ac:dyDescent="0.3">
      <c r="L44" s="3" t="s">
        <v>133</v>
      </c>
      <c r="M44" s="3">
        <v>884</v>
      </c>
      <c r="N44" s="3">
        <v>452</v>
      </c>
      <c r="O44" s="3">
        <v>432</v>
      </c>
      <c r="P44" s="3">
        <v>51.1</v>
      </c>
      <c r="Q44" s="3">
        <v>48.9</v>
      </c>
    </row>
    <row r="45" spans="1:20" ht="19.95" customHeight="1" x14ac:dyDescent="0.3">
      <c r="L45" s="2" t="s">
        <v>134</v>
      </c>
      <c r="M45" s="2">
        <v>578</v>
      </c>
      <c r="N45" s="2">
        <v>364</v>
      </c>
      <c r="O45" s="2">
        <v>214</v>
      </c>
      <c r="P45" s="2">
        <v>63</v>
      </c>
      <c r="Q45" s="2">
        <v>37</v>
      </c>
    </row>
    <row r="46" spans="1:20" ht="19.95" customHeight="1" x14ac:dyDescent="0.3">
      <c r="L46" s="3" t="s">
        <v>135</v>
      </c>
      <c r="M46" s="3">
        <v>758</v>
      </c>
      <c r="N46" s="3">
        <v>317</v>
      </c>
      <c r="O46" s="3">
        <v>441</v>
      </c>
      <c r="P46" s="3">
        <v>41.8</v>
      </c>
      <c r="Q46" s="3">
        <v>58.2</v>
      </c>
    </row>
    <row r="48" spans="1:20" ht="7.95" customHeight="1" x14ac:dyDescent="0.3"/>
    <row r="49" spans="1:20" ht="25.95" customHeight="1" x14ac:dyDescent="0.3">
      <c r="A49" s="54" t="s">
        <v>136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</row>
    <row r="50" spans="1:20" ht="19.95" customHeight="1" x14ac:dyDescent="0.3">
      <c r="A50" s="60" t="s">
        <v>137</v>
      </c>
      <c r="B50" s="55"/>
      <c r="C50" s="55"/>
      <c r="D50" s="55"/>
      <c r="E50" s="55"/>
      <c r="F50" s="55"/>
      <c r="G50" s="55"/>
      <c r="H50" s="55"/>
      <c r="I50" s="55"/>
      <c r="J50" s="55"/>
    </row>
    <row r="51" spans="1:20" ht="18" customHeight="1" x14ac:dyDescent="0.3">
      <c r="A51" s="59" t="s">
        <v>91</v>
      </c>
      <c r="B51" s="55"/>
      <c r="C51" s="55"/>
      <c r="D51" s="55"/>
      <c r="E51" s="55"/>
      <c r="F51" s="55"/>
      <c r="G51" s="55"/>
      <c r="H51" s="55"/>
      <c r="I51" s="55"/>
      <c r="J51" s="55"/>
    </row>
    <row r="52" spans="1:20" ht="18" customHeight="1" x14ac:dyDescent="0.3">
      <c r="A52" s="62" t="s">
        <v>138</v>
      </c>
      <c r="B52" s="55"/>
      <c r="C52" s="55"/>
      <c r="D52" s="55"/>
      <c r="E52" s="55"/>
      <c r="F52" s="55"/>
      <c r="G52" s="55"/>
      <c r="H52" s="55"/>
      <c r="I52" s="55"/>
      <c r="J52" s="55"/>
    </row>
    <row r="53" spans="1:20" ht="18" customHeight="1" x14ac:dyDescent="0.3">
      <c r="A53" s="61" t="s">
        <v>139</v>
      </c>
      <c r="B53" s="55"/>
      <c r="C53" s="55"/>
      <c r="D53" s="55"/>
      <c r="E53" s="55"/>
      <c r="F53" s="55"/>
      <c r="G53" s="55"/>
      <c r="H53" s="55"/>
      <c r="I53" s="55"/>
      <c r="J53" s="55"/>
    </row>
    <row r="54" spans="1:20" ht="18" customHeight="1" x14ac:dyDescent="0.3">
      <c r="A54" s="61" t="s">
        <v>140</v>
      </c>
      <c r="B54" s="55"/>
      <c r="C54" s="55"/>
      <c r="D54" s="55"/>
      <c r="E54" s="55"/>
      <c r="F54" s="55"/>
      <c r="G54" s="55"/>
      <c r="H54" s="55"/>
      <c r="I54" s="55"/>
      <c r="J54" s="55"/>
    </row>
    <row r="55" spans="1:20" ht="18" customHeight="1" x14ac:dyDescent="0.3">
      <c r="A55" s="61" t="s">
        <v>141</v>
      </c>
      <c r="B55" s="55"/>
      <c r="C55" s="55"/>
      <c r="D55" s="55"/>
      <c r="E55" s="55"/>
      <c r="F55" s="55"/>
      <c r="G55" s="55"/>
      <c r="H55" s="55"/>
      <c r="I55" s="55"/>
      <c r="J55" s="55"/>
    </row>
    <row r="56" spans="1:20" ht="18" customHeight="1" x14ac:dyDescent="0.3">
      <c r="A56" s="61" t="s">
        <v>142</v>
      </c>
      <c r="B56" s="55"/>
      <c r="C56" s="55"/>
      <c r="D56" s="55"/>
      <c r="E56" s="55"/>
      <c r="F56" s="55"/>
      <c r="G56" s="55"/>
      <c r="H56" s="55"/>
      <c r="I56" s="55"/>
      <c r="J56" s="55"/>
    </row>
    <row r="57" spans="1:20" ht="18" customHeight="1" x14ac:dyDescent="0.3">
      <c r="A57" s="61" t="s">
        <v>143</v>
      </c>
      <c r="B57" s="55"/>
      <c r="C57" s="55"/>
      <c r="D57" s="55"/>
      <c r="E57" s="55"/>
      <c r="F57" s="55"/>
      <c r="G57" s="55"/>
      <c r="H57" s="55"/>
      <c r="I57" s="55"/>
      <c r="J57" s="55"/>
    </row>
    <row r="58" spans="1:20" ht="18" customHeight="1" x14ac:dyDescent="0.3">
      <c r="A58" s="62" t="s">
        <v>144</v>
      </c>
      <c r="B58" s="55"/>
      <c r="C58" s="55"/>
      <c r="D58" s="55"/>
      <c r="E58" s="55"/>
      <c r="F58" s="55"/>
      <c r="G58" s="55"/>
      <c r="H58" s="55"/>
      <c r="I58" s="55"/>
      <c r="J58" s="55"/>
    </row>
    <row r="59" spans="1:20" ht="18" customHeight="1" x14ac:dyDescent="0.3">
      <c r="A59" s="61" t="s">
        <v>145</v>
      </c>
      <c r="B59" s="55"/>
      <c r="C59" s="55"/>
      <c r="D59" s="55"/>
      <c r="E59" s="55"/>
      <c r="F59" s="55"/>
      <c r="G59" s="55"/>
      <c r="H59" s="55"/>
      <c r="I59" s="55"/>
      <c r="J59" s="55"/>
    </row>
    <row r="60" spans="1:20" ht="18" customHeight="1" x14ac:dyDescent="0.3">
      <c r="A60" s="62" t="s">
        <v>146</v>
      </c>
      <c r="B60" s="55"/>
      <c r="C60" s="55"/>
      <c r="D60" s="55"/>
      <c r="E60" s="55"/>
      <c r="F60" s="55"/>
      <c r="G60" s="55"/>
      <c r="H60" s="55"/>
      <c r="I60" s="55"/>
      <c r="J60" s="55"/>
    </row>
    <row r="61" spans="1:20" ht="18" customHeight="1" x14ac:dyDescent="0.3">
      <c r="A61" s="61" t="s">
        <v>147</v>
      </c>
      <c r="B61" s="55"/>
      <c r="C61" s="55"/>
      <c r="D61" s="55"/>
      <c r="E61" s="55"/>
      <c r="F61" s="55"/>
      <c r="G61" s="55"/>
      <c r="H61" s="55"/>
      <c r="I61" s="55"/>
      <c r="J61" s="55"/>
    </row>
    <row r="62" spans="1:20" ht="18" customHeight="1" x14ac:dyDescent="0.3">
      <c r="A62" s="62" t="s">
        <v>148</v>
      </c>
      <c r="B62" s="55"/>
      <c r="C62" s="55"/>
      <c r="D62" s="55"/>
      <c r="E62" s="55"/>
      <c r="F62" s="55"/>
      <c r="G62" s="55"/>
      <c r="H62" s="55"/>
      <c r="I62" s="55"/>
      <c r="J62" s="55"/>
    </row>
    <row r="63" spans="1:20" ht="18" customHeight="1" x14ac:dyDescent="0.3">
      <c r="A63" s="59" t="s">
        <v>100</v>
      </c>
      <c r="B63" s="55"/>
      <c r="C63" s="55"/>
      <c r="D63" s="55"/>
      <c r="E63" s="55"/>
      <c r="F63" s="55"/>
      <c r="G63" s="55"/>
      <c r="H63" s="55"/>
      <c r="I63" s="55"/>
      <c r="J63" s="55"/>
    </row>
    <row r="64" spans="1:20" ht="18" customHeight="1" x14ac:dyDescent="0.3">
      <c r="A64" s="59" t="s">
        <v>149</v>
      </c>
      <c r="B64" s="55"/>
      <c r="C64" s="55"/>
      <c r="D64" s="55"/>
      <c r="E64" s="55"/>
      <c r="F64" s="55"/>
      <c r="G64" s="55"/>
      <c r="H64" s="55"/>
      <c r="I64" s="55"/>
      <c r="J64" s="55"/>
    </row>
    <row r="65" spans="1:20" ht="18" customHeight="1" x14ac:dyDescent="0.3">
      <c r="A65" s="59" t="s">
        <v>150</v>
      </c>
      <c r="B65" s="55"/>
      <c r="C65" s="55"/>
      <c r="D65" s="55"/>
      <c r="E65" s="55"/>
      <c r="F65" s="55"/>
      <c r="G65" s="55"/>
      <c r="H65" s="55"/>
      <c r="I65" s="55"/>
      <c r="J65" s="55"/>
    </row>
    <row r="66" spans="1:20" ht="4.05" customHeight="1" x14ac:dyDescent="0.3"/>
    <row r="67" spans="1:20" ht="30" customHeight="1" x14ac:dyDescent="0.3">
      <c r="A67" s="64" t="s">
        <v>151</v>
      </c>
      <c r="B67" s="55"/>
      <c r="C67" s="55"/>
      <c r="D67" s="55"/>
      <c r="E67" s="55"/>
      <c r="F67" s="55"/>
      <c r="G67" s="55"/>
      <c r="H67" s="55"/>
      <c r="I67" s="55"/>
      <c r="J67" s="55"/>
      <c r="L67" s="63" t="s">
        <v>152</v>
      </c>
      <c r="M67" s="55"/>
      <c r="N67" s="55"/>
      <c r="O67" s="55"/>
      <c r="P67" s="55"/>
      <c r="Q67" s="55"/>
      <c r="R67" s="55"/>
      <c r="S67" s="55"/>
      <c r="T67" s="55"/>
    </row>
    <row r="68" spans="1:20" ht="24" customHeight="1" x14ac:dyDescent="0.3">
      <c r="L68" s="1" t="s">
        <v>11</v>
      </c>
      <c r="M68" s="1" t="s">
        <v>153</v>
      </c>
      <c r="N68" s="1" t="s">
        <v>112</v>
      </c>
      <c r="O68" s="1" t="s">
        <v>154</v>
      </c>
      <c r="P68" s="1" t="s">
        <v>155</v>
      </c>
      <c r="Q68" s="1" t="s">
        <v>156</v>
      </c>
      <c r="R68" s="1" t="s">
        <v>157</v>
      </c>
      <c r="S68" s="1" t="s">
        <v>158</v>
      </c>
    </row>
    <row r="69" spans="1:20" ht="19.95" customHeight="1" x14ac:dyDescent="0.3">
      <c r="L69" s="2" t="s">
        <v>159</v>
      </c>
      <c r="M69" s="2">
        <v>3238</v>
      </c>
      <c r="N69" s="2">
        <v>198</v>
      </c>
      <c r="O69" s="2">
        <v>1713</v>
      </c>
      <c r="P69" s="2">
        <v>1327</v>
      </c>
      <c r="Q69" s="2">
        <v>6.11</v>
      </c>
      <c r="R69" s="2">
        <v>52.9</v>
      </c>
      <c r="S69" s="2">
        <v>40.98</v>
      </c>
    </row>
    <row r="70" spans="1:20" ht="19.95" customHeight="1" x14ac:dyDescent="0.3">
      <c r="L70" s="3" t="s">
        <v>160</v>
      </c>
      <c r="M70" s="3">
        <v>3507</v>
      </c>
      <c r="N70" s="3">
        <v>1066</v>
      </c>
      <c r="O70" s="3">
        <v>937</v>
      </c>
      <c r="P70" s="3">
        <v>1504</v>
      </c>
      <c r="Q70" s="3">
        <v>30.4</v>
      </c>
      <c r="R70" s="3">
        <v>26.72</v>
      </c>
      <c r="S70" s="3">
        <v>42.89</v>
      </c>
    </row>
    <row r="72" spans="1:20" ht="7.95" customHeight="1" x14ac:dyDescent="0.3"/>
    <row r="73" spans="1:20" ht="25.95" customHeight="1" x14ac:dyDescent="0.3">
      <c r="A73" s="54" t="s">
        <v>161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  <row r="74" spans="1:20" ht="19.95" customHeight="1" x14ac:dyDescent="0.3">
      <c r="A74" s="60" t="s">
        <v>162</v>
      </c>
      <c r="B74" s="55"/>
      <c r="C74" s="55"/>
      <c r="D74" s="55"/>
      <c r="E74" s="55"/>
      <c r="F74" s="55"/>
      <c r="G74" s="55"/>
      <c r="H74" s="55"/>
      <c r="I74" s="55"/>
      <c r="J74" s="55"/>
    </row>
    <row r="75" spans="1:20" ht="18" customHeight="1" x14ac:dyDescent="0.3">
      <c r="A75" s="59" t="s">
        <v>91</v>
      </c>
      <c r="B75" s="55"/>
      <c r="C75" s="55"/>
      <c r="D75" s="55"/>
      <c r="E75" s="55"/>
      <c r="F75" s="55"/>
      <c r="G75" s="55"/>
      <c r="H75" s="55"/>
      <c r="I75" s="55"/>
      <c r="J75" s="55"/>
    </row>
    <row r="76" spans="1:20" ht="18" customHeight="1" x14ac:dyDescent="0.3">
      <c r="A76" s="62" t="s">
        <v>163</v>
      </c>
      <c r="B76" s="55"/>
      <c r="C76" s="55"/>
      <c r="D76" s="55"/>
      <c r="E76" s="55"/>
      <c r="F76" s="55"/>
      <c r="G76" s="55"/>
      <c r="H76" s="55"/>
      <c r="I76" s="55"/>
      <c r="J76" s="55"/>
    </row>
    <row r="77" spans="1:20" ht="18" customHeight="1" x14ac:dyDescent="0.3">
      <c r="A77" s="62" t="s">
        <v>116</v>
      </c>
      <c r="B77" s="55"/>
      <c r="C77" s="55"/>
      <c r="D77" s="55"/>
      <c r="E77" s="55"/>
      <c r="F77" s="55"/>
      <c r="G77" s="55"/>
      <c r="H77" s="55"/>
      <c r="I77" s="55"/>
      <c r="J77" s="55"/>
    </row>
    <row r="78" spans="1:20" ht="18" customHeight="1" x14ac:dyDescent="0.3">
      <c r="A78" s="61" t="s">
        <v>164</v>
      </c>
      <c r="B78" s="55"/>
      <c r="C78" s="55"/>
      <c r="D78" s="55"/>
      <c r="E78" s="55"/>
      <c r="F78" s="55"/>
      <c r="G78" s="55"/>
      <c r="H78" s="55"/>
      <c r="I78" s="55"/>
      <c r="J78" s="55"/>
    </row>
    <row r="79" spans="1:20" ht="18" customHeight="1" x14ac:dyDescent="0.3">
      <c r="A79" s="61" t="s">
        <v>165</v>
      </c>
      <c r="B79" s="55"/>
      <c r="C79" s="55"/>
      <c r="D79" s="55"/>
      <c r="E79" s="55"/>
      <c r="F79" s="55"/>
      <c r="G79" s="55"/>
      <c r="H79" s="55"/>
      <c r="I79" s="55"/>
      <c r="J79" s="55"/>
    </row>
    <row r="80" spans="1:20" ht="18" customHeight="1" x14ac:dyDescent="0.3">
      <c r="A80" s="61" t="s">
        <v>166</v>
      </c>
      <c r="B80" s="55"/>
      <c r="C80" s="55"/>
      <c r="D80" s="55"/>
      <c r="E80" s="55"/>
      <c r="F80" s="55"/>
      <c r="G80" s="55"/>
      <c r="H80" s="55"/>
      <c r="I80" s="55"/>
      <c r="J80" s="55"/>
    </row>
    <row r="81" spans="1:20" ht="18" customHeight="1" x14ac:dyDescent="0.3">
      <c r="A81" s="61" t="s">
        <v>167</v>
      </c>
      <c r="B81" s="55"/>
      <c r="C81" s="55"/>
      <c r="D81" s="55"/>
      <c r="E81" s="55"/>
      <c r="F81" s="55"/>
      <c r="G81" s="55"/>
      <c r="H81" s="55"/>
      <c r="I81" s="55"/>
      <c r="J81" s="55"/>
    </row>
    <row r="82" spans="1:20" ht="18" customHeight="1" x14ac:dyDescent="0.3">
      <c r="A82" s="61" t="s">
        <v>168</v>
      </c>
      <c r="B82" s="55"/>
      <c r="C82" s="55"/>
      <c r="D82" s="55"/>
      <c r="E82" s="55"/>
      <c r="F82" s="55"/>
      <c r="G82" s="55"/>
      <c r="H82" s="55"/>
      <c r="I82" s="55"/>
      <c r="J82" s="55"/>
    </row>
    <row r="83" spans="1:20" ht="18" customHeight="1" x14ac:dyDescent="0.3">
      <c r="A83" s="59" t="s">
        <v>100</v>
      </c>
      <c r="B83" s="55"/>
      <c r="C83" s="55"/>
      <c r="D83" s="55"/>
      <c r="E83" s="55"/>
      <c r="F83" s="55"/>
      <c r="G83" s="55"/>
      <c r="H83" s="55"/>
      <c r="I83" s="55"/>
      <c r="J83" s="55"/>
    </row>
    <row r="84" spans="1:20" ht="18" customHeight="1" x14ac:dyDescent="0.3">
      <c r="A84" s="59" t="s">
        <v>169</v>
      </c>
      <c r="B84" s="55"/>
      <c r="C84" s="55"/>
      <c r="D84" s="55"/>
      <c r="E84" s="55"/>
      <c r="F84" s="55"/>
      <c r="G84" s="55"/>
      <c r="H84" s="55"/>
      <c r="I84" s="55"/>
      <c r="J84" s="55"/>
    </row>
    <row r="85" spans="1:20" ht="18" customHeight="1" x14ac:dyDescent="0.3">
      <c r="A85" s="59" t="s">
        <v>170</v>
      </c>
      <c r="B85" s="55"/>
      <c r="C85" s="55"/>
      <c r="D85" s="55"/>
      <c r="E85" s="55"/>
      <c r="F85" s="55"/>
      <c r="G85" s="55"/>
      <c r="H85" s="55"/>
      <c r="I85" s="55"/>
      <c r="J85" s="55"/>
    </row>
    <row r="86" spans="1:20" ht="18" customHeight="1" x14ac:dyDescent="0.3">
      <c r="A86" s="62" t="s">
        <v>171</v>
      </c>
      <c r="B86" s="55"/>
      <c r="C86" s="55"/>
      <c r="D86" s="55"/>
      <c r="E86" s="55"/>
      <c r="F86" s="55"/>
      <c r="G86" s="55"/>
      <c r="H86" s="55"/>
      <c r="I86" s="55"/>
      <c r="J86" s="55"/>
    </row>
    <row r="87" spans="1:20" ht="4.05" customHeight="1" x14ac:dyDescent="0.3"/>
    <row r="88" spans="1:20" ht="30" customHeight="1" x14ac:dyDescent="0.3">
      <c r="A88" s="64" t="s">
        <v>172</v>
      </c>
      <c r="B88" s="55"/>
      <c r="C88" s="55"/>
      <c r="D88" s="55"/>
      <c r="E88" s="55"/>
      <c r="F88" s="55"/>
      <c r="G88" s="55"/>
      <c r="H88" s="55"/>
      <c r="I88" s="55"/>
      <c r="J88" s="55"/>
      <c r="L88" s="63" t="s">
        <v>173</v>
      </c>
      <c r="M88" s="55"/>
      <c r="N88" s="55"/>
      <c r="O88" s="55"/>
      <c r="P88" s="55"/>
      <c r="Q88" s="55"/>
      <c r="R88" s="55"/>
      <c r="S88" s="55"/>
      <c r="T88" s="55"/>
    </row>
    <row r="89" spans="1:20" ht="24" customHeight="1" x14ac:dyDescent="0.3">
      <c r="L89" s="1" t="s">
        <v>18</v>
      </c>
      <c r="M89" s="1" t="s">
        <v>24</v>
      </c>
      <c r="N89" s="1" t="s">
        <v>105</v>
      </c>
      <c r="O89" s="1" t="s">
        <v>26</v>
      </c>
      <c r="P89" s="1" t="s">
        <v>112</v>
      </c>
      <c r="Q89" s="1" t="s">
        <v>154</v>
      </c>
      <c r="R89" s="1" t="s">
        <v>128</v>
      </c>
    </row>
    <row r="90" spans="1:20" ht="19.95" customHeight="1" x14ac:dyDescent="0.3">
      <c r="L90" s="3">
        <v>18</v>
      </c>
      <c r="M90" s="3" t="s">
        <v>131</v>
      </c>
      <c r="N90" s="3">
        <v>510</v>
      </c>
      <c r="O90" s="3">
        <v>346</v>
      </c>
      <c r="P90" s="3">
        <v>24</v>
      </c>
      <c r="Q90" s="3">
        <v>322</v>
      </c>
      <c r="R90" s="3">
        <v>67.8</v>
      </c>
    </row>
    <row r="91" spans="1:20" ht="19.95" customHeight="1" x14ac:dyDescent="0.3">
      <c r="L91" s="2">
        <v>20</v>
      </c>
      <c r="M91" s="2" t="s">
        <v>131</v>
      </c>
      <c r="N91" s="2">
        <v>492</v>
      </c>
      <c r="O91" s="2">
        <v>331</v>
      </c>
      <c r="P91" s="2">
        <v>41</v>
      </c>
      <c r="Q91" s="2">
        <v>290</v>
      </c>
      <c r="R91" s="2">
        <v>67.3</v>
      </c>
    </row>
    <row r="92" spans="1:20" ht="19.95" customHeight="1" x14ac:dyDescent="0.3">
      <c r="L92" s="3">
        <v>21</v>
      </c>
      <c r="M92" s="3" t="s">
        <v>132</v>
      </c>
      <c r="N92" s="3">
        <v>449</v>
      </c>
      <c r="O92" s="3">
        <v>307</v>
      </c>
      <c r="P92" s="3">
        <v>42</v>
      </c>
      <c r="Q92" s="3">
        <v>265</v>
      </c>
      <c r="R92" s="3">
        <v>68.400000000000006</v>
      </c>
    </row>
    <row r="93" spans="1:20" ht="19.95" customHeight="1" x14ac:dyDescent="0.3">
      <c r="L93" s="2">
        <v>19</v>
      </c>
      <c r="M93" s="2" t="s">
        <v>131</v>
      </c>
      <c r="N93" s="2">
        <v>473</v>
      </c>
      <c r="O93" s="2">
        <v>307</v>
      </c>
      <c r="P93" s="2">
        <v>24</v>
      </c>
      <c r="Q93" s="2">
        <v>283</v>
      </c>
      <c r="R93" s="2">
        <v>64.900000000000006</v>
      </c>
    </row>
    <row r="94" spans="1:20" ht="19.95" customHeight="1" x14ac:dyDescent="0.3">
      <c r="L94" s="3">
        <v>8</v>
      </c>
      <c r="M94" s="3" t="s">
        <v>130</v>
      </c>
      <c r="N94" s="3">
        <v>423</v>
      </c>
      <c r="O94" s="3">
        <v>268</v>
      </c>
      <c r="P94" s="3">
        <v>178</v>
      </c>
      <c r="Q94" s="3">
        <v>90</v>
      </c>
      <c r="R94" s="3">
        <v>63.4</v>
      </c>
    </row>
    <row r="95" spans="1:20" ht="19.95" customHeight="1" x14ac:dyDescent="0.3">
      <c r="L95" s="2">
        <v>17</v>
      </c>
      <c r="M95" s="2" t="s">
        <v>133</v>
      </c>
      <c r="N95" s="2">
        <v>418</v>
      </c>
      <c r="O95" s="2">
        <v>267</v>
      </c>
      <c r="P95" s="2">
        <v>35</v>
      </c>
      <c r="Q95" s="2">
        <v>232</v>
      </c>
      <c r="R95" s="2">
        <v>63.9</v>
      </c>
    </row>
    <row r="96" spans="1:20" ht="19.95" customHeight="1" x14ac:dyDescent="0.3">
      <c r="L96" s="3">
        <v>5</v>
      </c>
      <c r="M96" s="3" t="s">
        <v>130</v>
      </c>
      <c r="N96" s="3">
        <v>445</v>
      </c>
      <c r="O96" s="3">
        <v>260</v>
      </c>
      <c r="P96" s="3">
        <v>176</v>
      </c>
      <c r="Q96" s="3">
        <v>84</v>
      </c>
      <c r="R96" s="3">
        <v>58.4</v>
      </c>
    </row>
    <row r="97" spans="12:18" ht="19.95" customHeight="1" x14ac:dyDescent="0.3">
      <c r="L97" s="2">
        <v>9</v>
      </c>
      <c r="M97" s="2" t="s">
        <v>130</v>
      </c>
      <c r="N97" s="2">
        <v>431</v>
      </c>
      <c r="O97" s="2">
        <v>258</v>
      </c>
      <c r="P97" s="2">
        <v>175</v>
      </c>
      <c r="Q97" s="2">
        <v>83</v>
      </c>
      <c r="R97" s="2">
        <v>59.9</v>
      </c>
    </row>
    <row r="98" spans="12:18" ht="19.95" customHeight="1" x14ac:dyDescent="0.3">
      <c r="L98" s="3">
        <v>7</v>
      </c>
      <c r="M98" s="3" t="s">
        <v>130</v>
      </c>
      <c r="N98" s="3">
        <v>406</v>
      </c>
      <c r="O98" s="3">
        <v>232</v>
      </c>
      <c r="P98" s="3">
        <v>169</v>
      </c>
      <c r="Q98" s="3">
        <v>63</v>
      </c>
      <c r="R98" s="3">
        <v>57.1</v>
      </c>
    </row>
    <row r="99" spans="12:18" ht="19.95" customHeight="1" x14ac:dyDescent="0.3">
      <c r="L99" s="2">
        <v>6</v>
      </c>
      <c r="M99" s="2" t="s">
        <v>130</v>
      </c>
      <c r="N99" s="2">
        <v>398</v>
      </c>
      <c r="O99" s="2">
        <v>231</v>
      </c>
      <c r="P99" s="2">
        <v>145</v>
      </c>
      <c r="Q99" s="2">
        <v>86</v>
      </c>
      <c r="R99" s="2">
        <v>58</v>
      </c>
    </row>
  </sheetData>
  <mergeCells count="67">
    <mergeCell ref="A2:T2"/>
    <mergeCell ref="A16:J16"/>
    <mergeCell ref="A54:J54"/>
    <mergeCell ref="A80:J80"/>
    <mergeCell ref="A37:J37"/>
    <mergeCell ref="L67:T67"/>
    <mergeCell ref="A75:J75"/>
    <mergeCell ref="A74:J74"/>
    <mergeCell ref="A4:T4"/>
    <mergeCell ref="A56:J56"/>
    <mergeCell ref="A27:J27"/>
    <mergeCell ref="L19:T19"/>
    <mergeCell ref="A55:J55"/>
    <mergeCell ref="A12:J12"/>
    <mergeCell ref="A50:J50"/>
    <mergeCell ref="A57:J57"/>
    <mergeCell ref="A88:J88"/>
    <mergeCell ref="A26:T26"/>
    <mergeCell ref="A78:J78"/>
    <mergeCell ref="A7:J7"/>
    <mergeCell ref="A65:J65"/>
    <mergeCell ref="A84:J84"/>
    <mergeCell ref="A86:J86"/>
    <mergeCell ref="A76:J76"/>
    <mergeCell ref="A33:J33"/>
    <mergeCell ref="L88:T88"/>
    <mergeCell ref="A19:J19"/>
    <mergeCell ref="A13:J13"/>
    <mergeCell ref="A1:T1"/>
    <mergeCell ref="A63:J63"/>
    <mergeCell ref="A31:J31"/>
    <mergeCell ref="A58:J58"/>
    <mergeCell ref="A9:J9"/>
    <mergeCell ref="A67:J67"/>
    <mergeCell ref="A30:J30"/>
    <mergeCell ref="A39:J39"/>
    <mergeCell ref="A34:J34"/>
    <mergeCell ref="A15:J15"/>
    <mergeCell ref="A59:J59"/>
    <mergeCell ref="A77:J77"/>
    <mergeCell ref="A83:J83"/>
    <mergeCell ref="L39:T39"/>
    <mergeCell ref="A73:T73"/>
    <mergeCell ref="A49:T49"/>
    <mergeCell ref="A81:J81"/>
    <mergeCell ref="A52:J52"/>
    <mergeCell ref="A64:J64"/>
    <mergeCell ref="A60:J60"/>
    <mergeCell ref="A51:J51"/>
    <mergeCell ref="A79:J79"/>
    <mergeCell ref="A61:J61"/>
    <mergeCell ref="A85:J85"/>
    <mergeCell ref="A5:J5"/>
    <mergeCell ref="A32:J32"/>
    <mergeCell ref="A8:J8"/>
    <mergeCell ref="A14:J14"/>
    <mergeCell ref="A17:J17"/>
    <mergeCell ref="A62:J62"/>
    <mergeCell ref="A53:J53"/>
    <mergeCell ref="A29:J29"/>
    <mergeCell ref="A35:J35"/>
    <mergeCell ref="A10:J10"/>
    <mergeCell ref="A28:J28"/>
    <mergeCell ref="A82:J82"/>
    <mergeCell ref="A11:J11"/>
    <mergeCell ref="A36:J36"/>
    <mergeCell ref="A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6"/>
  <sheetViews>
    <sheetView showGridLines="0" topLeftCell="A56" zoomScale="85" workbookViewId="0">
      <selection sqref="A1:T1"/>
    </sheetView>
  </sheetViews>
  <sheetFormatPr defaultRowHeight="14.4" x14ac:dyDescent="0.3"/>
  <cols>
    <col min="1" max="1" width="42" customWidth="1"/>
    <col min="2" max="10" width="4" customWidth="1"/>
    <col min="11" max="11" width="3" customWidth="1"/>
    <col min="12" max="13" width="14" customWidth="1"/>
    <col min="14" max="20" width="12" customWidth="1"/>
  </cols>
  <sheetData>
    <row r="1" spans="1:20" ht="36" customHeight="1" x14ac:dyDescent="0.3">
      <c r="A1" s="58" t="s">
        <v>174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4.95" customHeight="1" x14ac:dyDescent="0.3">
      <c r="A2" s="57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7.95" customHeight="1" x14ac:dyDescent="0.3"/>
    <row r="4" spans="1:20" ht="25.95" customHeight="1" x14ac:dyDescent="0.3">
      <c r="A4" s="54" t="s">
        <v>175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ht="19.95" customHeight="1" x14ac:dyDescent="0.3">
      <c r="A5" s="60" t="s">
        <v>176</v>
      </c>
      <c r="B5" s="55"/>
      <c r="C5" s="55"/>
      <c r="D5" s="55"/>
      <c r="E5" s="55"/>
      <c r="F5" s="55"/>
      <c r="G5" s="55"/>
      <c r="H5" s="55"/>
      <c r="I5" s="55"/>
      <c r="J5" s="55"/>
    </row>
    <row r="6" spans="1:20" ht="18" customHeight="1" x14ac:dyDescent="0.3">
      <c r="A6" s="59" t="s">
        <v>91</v>
      </c>
      <c r="B6" s="55"/>
      <c r="C6" s="55"/>
      <c r="D6" s="55"/>
      <c r="E6" s="55"/>
      <c r="F6" s="55"/>
      <c r="G6" s="55"/>
      <c r="H6" s="55"/>
      <c r="I6" s="55"/>
      <c r="J6" s="55"/>
    </row>
    <row r="7" spans="1:20" ht="18" customHeight="1" x14ac:dyDescent="0.3">
      <c r="A7" s="62" t="s">
        <v>138</v>
      </c>
      <c r="B7" s="55"/>
      <c r="C7" s="55"/>
      <c r="D7" s="55"/>
      <c r="E7" s="55"/>
      <c r="F7" s="55"/>
      <c r="G7" s="55"/>
      <c r="H7" s="55"/>
      <c r="I7" s="55"/>
      <c r="J7" s="55"/>
    </row>
    <row r="8" spans="1:20" ht="18" customHeight="1" x14ac:dyDescent="0.3">
      <c r="A8" s="61" t="s">
        <v>177</v>
      </c>
      <c r="B8" s="55"/>
      <c r="C8" s="55"/>
      <c r="D8" s="55"/>
      <c r="E8" s="55"/>
      <c r="F8" s="55"/>
      <c r="G8" s="55"/>
      <c r="H8" s="55"/>
      <c r="I8" s="55"/>
      <c r="J8" s="55"/>
    </row>
    <row r="9" spans="1:20" ht="18" customHeight="1" x14ac:dyDescent="0.3">
      <c r="A9" s="61" t="s">
        <v>178</v>
      </c>
      <c r="B9" s="55"/>
      <c r="C9" s="55"/>
      <c r="D9" s="55"/>
      <c r="E9" s="55"/>
      <c r="F9" s="55"/>
      <c r="G9" s="55"/>
      <c r="H9" s="55"/>
      <c r="I9" s="55"/>
      <c r="J9" s="55"/>
    </row>
    <row r="10" spans="1:20" ht="18" customHeight="1" x14ac:dyDescent="0.3">
      <c r="A10" s="61" t="s">
        <v>179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20" ht="18" customHeight="1" x14ac:dyDescent="0.3">
      <c r="A11" s="61" t="s">
        <v>180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20" ht="18" customHeight="1" x14ac:dyDescent="0.3">
      <c r="A12" s="61" t="s">
        <v>181</v>
      </c>
      <c r="B12" s="55"/>
      <c r="C12" s="55"/>
      <c r="D12" s="55"/>
      <c r="E12" s="55"/>
      <c r="F12" s="55"/>
      <c r="G12" s="55"/>
      <c r="H12" s="55"/>
      <c r="I12" s="55"/>
      <c r="J12" s="55"/>
    </row>
    <row r="13" spans="1:20" ht="18" customHeight="1" x14ac:dyDescent="0.3">
      <c r="A13" s="61" t="s">
        <v>182</v>
      </c>
      <c r="B13" s="55"/>
      <c r="C13" s="55"/>
      <c r="D13" s="55"/>
      <c r="E13" s="55"/>
      <c r="F13" s="55"/>
      <c r="G13" s="55"/>
      <c r="H13" s="55"/>
      <c r="I13" s="55"/>
      <c r="J13" s="55"/>
    </row>
    <row r="14" spans="1:20" ht="18" customHeight="1" x14ac:dyDescent="0.3">
      <c r="A14" s="59" t="s">
        <v>100</v>
      </c>
      <c r="B14" s="55"/>
      <c r="C14" s="55"/>
      <c r="D14" s="55"/>
      <c r="E14" s="55"/>
      <c r="F14" s="55"/>
      <c r="G14" s="55"/>
      <c r="H14" s="55"/>
      <c r="I14" s="55"/>
      <c r="J14" s="55"/>
    </row>
    <row r="15" spans="1:20" ht="18" customHeight="1" x14ac:dyDescent="0.3">
      <c r="A15" s="59" t="s">
        <v>183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20" ht="18" customHeight="1" x14ac:dyDescent="0.3">
      <c r="A16" s="62" t="s">
        <v>184</v>
      </c>
      <c r="B16" s="55"/>
      <c r="C16" s="55"/>
      <c r="D16" s="55"/>
      <c r="E16" s="55"/>
      <c r="F16" s="55"/>
      <c r="G16" s="55"/>
      <c r="H16" s="55"/>
      <c r="I16" s="55"/>
      <c r="J16" s="55"/>
    </row>
    <row r="17" spans="1:20" ht="18" customHeight="1" x14ac:dyDescent="0.3">
      <c r="A17" s="59" t="s">
        <v>149</v>
      </c>
      <c r="B17" s="55"/>
      <c r="C17" s="55"/>
      <c r="D17" s="55"/>
      <c r="E17" s="55"/>
      <c r="F17" s="55"/>
      <c r="G17" s="55"/>
      <c r="H17" s="55"/>
      <c r="I17" s="55"/>
      <c r="J17" s="55"/>
    </row>
    <row r="18" spans="1:20" ht="18" customHeight="1" x14ac:dyDescent="0.3">
      <c r="A18" s="59" t="s">
        <v>150</v>
      </c>
      <c r="B18" s="55"/>
      <c r="C18" s="55"/>
      <c r="D18" s="55"/>
      <c r="E18" s="55"/>
      <c r="F18" s="55"/>
      <c r="G18" s="55"/>
      <c r="H18" s="55"/>
      <c r="I18" s="55"/>
      <c r="J18" s="55"/>
    </row>
    <row r="19" spans="1:20" ht="4.05" customHeight="1" x14ac:dyDescent="0.3"/>
    <row r="20" spans="1:20" ht="30" customHeight="1" x14ac:dyDescent="0.3">
      <c r="A20" s="64" t="s">
        <v>185</v>
      </c>
      <c r="B20" s="55"/>
      <c r="C20" s="55"/>
      <c r="D20" s="55"/>
      <c r="E20" s="55"/>
      <c r="F20" s="55"/>
      <c r="G20" s="55"/>
      <c r="H20" s="55"/>
      <c r="I20" s="55"/>
      <c r="J20" s="55"/>
      <c r="L20" s="63" t="s">
        <v>186</v>
      </c>
      <c r="M20" s="55"/>
      <c r="N20" s="55"/>
      <c r="O20" s="55"/>
      <c r="P20" s="55"/>
      <c r="Q20" s="55"/>
      <c r="R20" s="55"/>
      <c r="S20" s="55"/>
      <c r="T20" s="55"/>
    </row>
    <row r="21" spans="1:20" ht="24" customHeight="1" x14ac:dyDescent="0.3">
      <c r="L21" s="1" t="s">
        <v>11</v>
      </c>
      <c r="M21" s="1" t="s">
        <v>187</v>
      </c>
      <c r="N21" s="1" t="s">
        <v>188</v>
      </c>
      <c r="O21" s="1" t="s">
        <v>189</v>
      </c>
      <c r="P21" s="1" t="s">
        <v>190</v>
      </c>
      <c r="Q21" s="1" t="s">
        <v>191</v>
      </c>
    </row>
    <row r="22" spans="1:20" ht="19.95" customHeight="1" x14ac:dyDescent="0.3">
      <c r="L22" s="3" t="s">
        <v>159</v>
      </c>
      <c r="M22" s="3">
        <v>1327</v>
      </c>
      <c r="N22" s="3">
        <v>52.24</v>
      </c>
      <c r="O22" s="3">
        <v>21.18</v>
      </c>
      <c r="P22" s="3">
        <v>82.07</v>
      </c>
      <c r="Q22" s="3">
        <v>60.89</v>
      </c>
    </row>
    <row r="23" spans="1:20" ht="19.95" customHeight="1" x14ac:dyDescent="0.3">
      <c r="L23" s="2" t="s">
        <v>160</v>
      </c>
      <c r="M23" s="2">
        <v>1504</v>
      </c>
      <c r="N23" s="2">
        <v>52.57</v>
      </c>
      <c r="O23" s="2">
        <v>20.78</v>
      </c>
      <c r="P23" s="2">
        <v>83</v>
      </c>
      <c r="Q23" s="2">
        <v>62.22</v>
      </c>
    </row>
    <row r="25" spans="1:20" ht="7.95" customHeight="1" x14ac:dyDescent="0.3"/>
    <row r="26" spans="1:20" ht="25.95" customHeight="1" x14ac:dyDescent="0.3">
      <c r="A26" s="54" t="s">
        <v>192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</row>
    <row r="27" spans="1:20" ht="19.95" customHeight="1" x14ac:dyDescent="0.3">
      <c r="A27" s="60" t="s">
        <v>193</v>
      </c>
      <c r="B27" s="55"/>
      <c r="C27" s="55"/>
      <c r="D27" s="55"/>
      <c r="E27" s="55"/>
      <c r="F27" s="55"/>
      <c r="G27" s="55"/>
      <c r="H27" s="55"/>
      <c r="I27" s="55"/>
      <c r="J27" s="55"/>
    </row>
    <row r="28" spans="1:20" ht="18" customHeight="1" x14ac:dyDescent="0.3">
      <c r="A28" s="59" t="s">
        <v>91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20" ht="18" customHeight="1" x14ac:dyDescent="0.3">
      <c r="A29" s="62" t="s">
        <v>194</v>
      </c>
      <c r="B29" s="55"/>
      <c r="C29" s="55"/>
      <c r="D29" s="55"/>
      <c r="E29" s="55"/>
      <c r="F29" s="55"/>
      <c r="G29" s="55"/>
      <c r="H29" s="55"/>
      <c r="I29" s="55"/>
      <c r="J29" s="55"/>
    </row>
    <row r="30" spans="1:20" ht="18" customHeight="1" x14ac:dyDescent="0.3">
      <c r="A30" s="62" t="s">
        <v>195</v>
      </c>
      <c r="B30" s="55"/>
      <c r="C30" s="55"/>
      <c r="D30" s="55"/>
      <c r="E30" s="55"/>
      <c r="F30" s="55"/>
      <c r="G30" s="55"/>
      <c r="H30" s="55"/>
      <c r="I30" s="55"/>
      <c r="J30" s="55"/>
    </row>
    <row r="31" spans="1:20" ht="18" customHeight="1" x14ac:dyDescent="0.3">
      <c r="A31" s="61" t="s">
        <v>196</v>
      </c>
      <c r="B31" s="55"/>
      <c r="C31" s="55"/>
      <c r="D31" s="55"/>
      <c r="E31" s="55"/>
      <c r="F31" s="55"/>
      <c r="G31" s="55"/>
      <c r="H31" s="55"/>
      <c r="I31" s="55"/>
      <c r="J31" s="55"/>
    </row>
    <row r="32" spans="1:20" ht="18" customHeight="1" x14ac:dyDescent="0.3">
      <c r="A32" s="61" t="s">
        <v>197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20" ht="18" customHeight="1" x14ac:dyDescent="0.3">
      <c r="A33" s="61" t="s">
        <v>198</v>
      </c>
      <c r="B33" s="55"/>
      <c r="C33" s="55"/>
      <c r="D33" s="55"/>
      <c r="E33" s="55"/>
      <c r="F33" s="55"/>
      <c r="G33" s="55"/>
      <c r="H33" s="55"/>
      <c r="I33" s="55"/>
      <c r="J33" s="55"/>
    </row>
    <row r="34" spans="1:20" ht="18" customHeight="1" x14ac:dyDescent="0.3">
      <c r="A34" s="61" t="s">
        <v>199</v>
      </c>
      <c r="B34" s="55"/>
      <c r="C34" s="55"/>
      <c r="D34" s="55"/>
      <c r="E34" s="55"/>
      <c r="F34" s="55"/>
      <c r="G34" s="55"/>
      <c r="H34" s="55"/>
      <c r="I34" s="55"/>
      <c r="J34" s="55"/>
    </row>
    <row r="35" spans="1:20" ht="18" customHeight="1" x14ac:dyDescent="0.3">
      <c r="A35" s="61" t="s">
        <v>200</v>
      </c>
      <c r="B35" s="55"/>
      <c r="C35" s="55"/>
      <c r="D35" s="55"/>
      <c r="E35" s="55"/>
      <c r="F35" s="55"/>
      <c r="G35" s="55"/>
      <c r="H35" s="55"/>
      <c r="I35" s="55"/>
      <c r="J35" s="55"/>
    </row>
    <row r="36" spans="1:20" ht="18" customHeight="1" x14ac:dyDescent="0.3">
      <c r="A36" s="61" t="s">
        <v>147</v>
      </c>
      <c r="B36" s="55"/>
      <c r="C36" s="55"/>
      <c r="D36" s="55"/>
      <c r="E36" s="55"/>
      <c r="F36" s="55"/>
      <c r="G36" s="55"/>
      <c r="H36" s="55"/>
      <c r="I36" s="55"/>
      <c r="J36" s="55"/>
    </row>
    <row r="37" spans="1:20" ht="18" customHeight="1" x14ac:dyDescent="0.3">
      <c r="A37" s="62" t="s">
        <v>201</v>
      </c>
      <c r="B37" s="55"/>
      <c r="C37" s="55"/>
      <c r="D37" s="55"/>
      <c r="E37" s="55"/>
      <c r="F37" s="55"/>
      <c r="G37" s="55"/>
      <c r="H37" s="55"/>
      <c r="I37" s="55"/>
      <c r="J37" s="55"/>
    </row>
    <row r="38" spans="1:20" ht="18" customHeight="1" x14ac:dyDescent="0.3">
      <c r="A38" s="59" t="s">
        <v>100</v>
      </c>
      <c r="B38" s="55"/>
      <c r="C38" s="55"/>
      <c r="D38" s="55"/>
      <c r="E38" s="55"/>
      <c r="F38" s="55"/>
      <c r="G38" s="55"/>
      <c r="H38" s="55"/>
      <c r="I38" s="55"/>
      <c r="J38" s="55"/>
    </row>
    <row r="39" spans="1:20" ht="18" customHeight="1" x14ac:dyDescent="0.3">
      <c r="A39" s="59" t="s">
        <v>202</v>
      </c>
      <c r="B39" s="55"/>
      <c r="C39" s="55"/>
      <c r="D39" s="55"/>
      <c r="E39" s="55"/>
      <c r="F39" s="55"/>
      <c r="G39" s="55"/>
      <c r="H39" s="55"/>
      <c r="I39" s="55"/>
      <c r="J39" s="55"/>
    </row>
    <row r="40" spans="1:20" ht="18" customHeight="1" x14ac:dyDescent="0.3">
      <c r="A40" s="59" t="s">
        <v>203</v>
      </c>
      <c r="B40" s="55"/>
      <c r="C40" s="55"/>
      <c r="D40" s="55"/>
      <c r="E40" s="55"/>
      <c r="F40" s="55"/>
      <c r="G40" s="55"/>
      <c r="H40" s="55"/>
      <c r="I40" s="55"/>
      <c r="J40" s="55"/>
    </row>
    <row r="41" spans="1:20" ht="4.05" customHeight="1" x14ac:dyDescent="0.3"/>
    <row r="42" spans="1:20" ht="30" customHeight="1" x14ac:dyDescent="0.3">
      <c r="A42" s="64" t="s">
        <v>204</v>
      </c>
      <c r="B42" s="55"/>
      <c r="C42" s="55"/>
      <c r="D42" s="55"/>
      <c r="E42" s="55"/>
      <c r="F42" s="55"/>
      <c r="G42" s="55"/>
      <c r="H42" s="55"/>
      <c r="I42" s="55"/>
      <c r="J42" s="55"/>
      <c r="L42" s="63" t="s">
        <v>205</v>
      </c>
      <c r="M42" s="55"/>
      <c r="N42" s="55"/>
      <c r="O42" s="55"/>
      <c r="P42" s="55"/>
      <c r="Q42" s="55"/>
      <c r="R42" s="55"/>
      <c r="S42" s="55"/>
      <c r="T42" s="55"/>
    </row>
    <row r="43" spans="1:20" ht="24" customHeight="1" x14ac:dyDescent="0.3">
      <c r="L43" s="1" t="s">
        <v>20</v>
      </c>
      <c r="M43" s="1" t="s">
        <v>22</v>
      </c>
      <c r="N43" s="1" t="s">
        <v>105</v>
      </c>
      <c r="O43" s="1" t="s">
        <v>155</v>
      </c>
      <c r="P43" s="1" t="s">
        <v>112</v>
      </c>
      <c r="Q43" s="1" t="s">
        <v>154</v>
      </c>
      <c r="R43" s="1" t="s">
        <v>206</v>
      </c>
      <c r="S43" s="1" t="s">
        <v>129</v>
      </c>
    </row>
    <row r="44" spans="1:20" ht="19.95" customHeight="1" x14ac:dyDescent="0.3">
      <c r="L44" s="3" t="s">
        <v>207</v>
      </c>
      <c r="M44" s="3" t="s">
        <v>208</v>
      </c>
      <c r="N44" s="3">
        <v>1367</v>
      </c>
      <c r="O44" s="3">
        <v>601</v>
      </c>
      <c r="P44" s="3">
        <v>262</v>
      </c>
      <c r="Q44" s="3">
        <v>504</v>
      </c>
      <c r="R44" s="3">
        <v>766</v>
      </c>
      <c r="S44" s="3">
        <v>44</v>
      </c>
    </row>
    <row r="45" spans="1:20" ht="19.95" customHeight="1" x14ac:dyDescent="0.3">
      <c r="L45" s="2" t="s">
        <v>209</v>
      </c>
      <c r="M45" s="2" t="s">
        <v>210</v>
      </c>
      <c r="N45" s="2">
        <v>1307</v>
      </c>
      <c r="O45" s="2">
        <v>562</v>
      </c>
      <c r="P45" s="2">
        <v>240</v>
      </c>
      <c r="Q45" s="2">
        <v>505</v>
      </c>
      <c r="R45" s="2">
        <v>745</v>
      </c>
      <c r="S45" s="2">
        <v>43</v>
      </c>
    </row>
    <row r="46" spans="1:20" ht="19.95" customHeight="1" x14ac:dyDescent="0.3">
      <c r="L46" s="3" t="s">
        <v>211</v>
      </c>
      <c r="M46" s="3" t="s">
        <v>212</v>
      </c>
      <c r="N46" s="3">
        <v>1337</v>
      </c>
      <c r="O46" s="3">
        <v>577</v>
      </c>
      <c r="P46" s="3">
        <v>270</v>
      </c>
      <c r="Q46" s="3">
        <v>490</v>
      </c>
      <c r="R46" s="3">
        <v>760</v>
      </c>
      <c r="S46" s="3">
        <v>43.2</v>
      </c>
    </row>
    <row r="47" spans="1:20" ht="19.95" customHeight="1" x14ac:dyDescent="0.3">
      <c r="L47" s="2" t="s">
        <v>213</v>
      </c>
      <c r="M47" s="2" t="s">
        <v>214</v>
      </c>
      <c r="N47" s="2">
        <v>1353</v>
      </c>
      <c r="O47" s="2">
        <v>530</v>
      </c>
      <c r="P47" s="2">
        <v>252</v>
      </c>
      <c r="Q47" s="2">
        <v>571</v>
      </c>
      <c r="R47" s="2">
        <v>823</v>
      </c>
      <c r="S47" s="2">
        <v>39.200000000000003</v>
      </c>
    </row>
    <row r="48" spans="1:20" ht="19.95" customHeight="1" x14ac:dyDescent="0.3">
      <c r="L48" s="3" t="s">
        <v>215</v>
      </c>
      <c r="M48" s="3" t="s">
        <v>216</v>
      </c>
      <c r="N48" s="3">
        <v>1381</v>
      </c>
      <c r="O48" s="3">
        <v>561</v>
      </c>
      <c r="P48" s="3">
        <v>240</v>
      </c>
      <c r="Q48" s="3">
        <v>580</v>
      </c>
      <c r="R48" s="3">
        <v>820</v>
      </c>
      <c r="S48" s="3">
        <v>40.6</v>
      </c>
    </row>
    <row r="50" spans="1:20" ht="7.95" customHeight="1" x14ac:dyDescent="0.3"/>
    <row r="51" spans="1:20" ht="25.95" customHeight="1" x14ac:dyDescent="0.3">
      <c r="A51" s="54" t="s">
        <v>217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</row>
    <row r="52" spans="1:20" ht="19.95" customHeight="1" x14ac:dyDescent="0.3">
      <c r="A52" s="60" t="s">
        <v>218</v>
      </c>
      <c r="B52" s="55"/>
      <c r="C52" s="55"/>
      <c r="D52" s="55"/>
      <c r="E52" s="55"/>
      <c r="F52" s="55"/>
      <c r="G52" s="55"/>
      <c r="H52" s="55"/>
      <c r="I52" s="55"/>
      <c r="J52" s="55"/>
    </row>
    <row r="53" spans="1:20" ht="18" customHeight="1" x14ac:dyDescent="0.3">
      <c r="A53" s="59" t="s">
        <v>91</v>
      </c>
      <c r="B53" s="55"/>
      <c r="C53" s="55"/>
      <c r="D53" s="55"/>
      <c r="E53" s="55"/>
      <c r="F53" s="55"/>
      <c r="G53" s="55"/>
      <c r="H53" s="55"/>
      <c r="I53" s="55"/>
      <c r="J53" s="55"/>
    </row>
    <row r="54" spans="1:20" ht="18" customHeight="1" x14ac:dyDescent="0.3">
      <c r="A54" s="62" t="s">
        <v>138</v>
      </c>
      <c r="B54" s="55"/>
      <c r="C54" s="55"/>
      <c r="D54" s="55"/>
      <c r="E54" s="55"/>
      <c r="F54" s="55"/>
      <c r="G54" s="55"/>
      <c r="H54" s="55"/>
      <c r="I54" s="55"/>
      <c r="J54" s="55"/>
    </row>
    <row r="55" spans="1:20" ht="18" customHeight="1" x14ac:dyDescent="0.3">
      <c r="A55" s="62" t="s">
        <v>116</v>
      </c>
      <c r="B55" s="55"/>
      <c r="C55" s="55"/>
      <c r="D55" s="55"/>
      <c r="E55" s="55"/>
      <c r="F55" s="55"/>
      <c r="G55" s="55"/>
      <c r="H55" s="55"/>
      <c r="I55" s="55"/>
      <c r="J55" s="55"/>
    </row>
    <row r="56" spans="1:20" ht="18" customHeight="1" x14ac:dyDescent="0.3">
      <c r="A56" s="61" t="s">
        <v>219</v>
      </c>
      <c r="B56" s="55"/>
      <c r="C56" s="55"/>
      <c r="D56" s="55"/>
      <c r="E56" s="55"/>
      <c r="F56" s="55"/>
      <c r="G56" s="55"/>
      <c r="H56" s="55"/>
      <c r="I56" s="55"/>
      <c r="J56" s="55"/>
    </row>
    <row r="57" spans="1:20" ht="18" customHeight="1" x14ac:dyDescent="0.3">
      <c r="A57" s="61" t="s">
        <v>220</v>
      </c>
      <c r="B57" s="55"/>
      <c r="C57" s="55"/>
      <c r="D57" s="55"/>
      <c r="E57" s="55"/>
      <c r="F57" s="55"/>
      <c r="G57" s="55"/>
      <c r="H57" s="55"/>
      <c r="I57" s="55"/>
      <c r="J57" s="55"/>
    </row>
    <row r="58" spans="1:20" ht="18" customHeight="1" x14ac:dyDescent="0.3">
      <c r="A58" s="61" t="s">
        <v>221</v>
      </c>
      <c r="B58" s="55"/>
      <c r="C58" s="55"/>
      <c r="D58" s="55"/>
      <c r="E58" s="55"/>
      <c r="F58" s="55"/>
      <c r="G58" s="55"/>
      <c r="H58" s="55"/>
      <c r="I58" s="55"/>
      <c r="J58" s="55"/>
    </row>
    <row r="59" spans="1:20" ht="18" customHeight="1" x14ac:dyDescent="0.3">
      <c r="A59" s="61" t="s">
        <v>222</v>
      </c>
      <c r="B59" s="55"/>
      <c r="C59" s="55"/>
      <c r="D59" s="55"/>
      <c r="E59" s="55"/>
      <c r="F59" s="55"/>
      <c r="G59" s="55"/>
      <c r="H59" s="55"/>
      <c r="I59" s="55"/>
      <c r="J59" s="55"/>
    </row>
    <row r="60" spans="1:20" ht="18" customHeight="1" x14ac:dyDescent="0.3">
      <c r="A60" s="59" t="s">
        <v>95</v>
      </c>
      <c r="B60" s="55"/>
      <c r="C60" s="55"/>
      <c r="D60" s="55"/>
      <c r="E60" s="55"/>
      <c r="F60" s="55"/>
      <c r="G60" s="55"/>
      <c r="H60" s="55"/>
      <c r="I60" s="55"/>
      <c r="J60" s="55"/>
    </row>
    <row r="61" spans="1:20" ht="18" customHeight="1" x14ac:dyDescent="0.3">
      <c r="A61" s="62" t="s">
        <v>223</v>
      </c>
      <c r="B61" s="55"/>
      <c r="C61" s="55"/>
      <c r="D61" s="55"/>
      <c r="E61" s="55"/>
      <c r="F61" s="55"/>
      <c r="G61" s="55"/>
      <c r="H61" s="55"/>
      <c r="I61" s="55"/>
      <c r="J61" s="55"/>
    </row>
    <row r="62" spans="1:20" ht="18" customHeight="1" x14ac:dyDescent="0.3">
      <c r="A62" s="62" t="s">
        <v>224</v>
      </c>
      <c r="B62" s="55"/>
      <c r="C62" s="55"/>
      <c r="D62" s="55"/>
      <c r="E62" s="55"/>
      <c r="F62" s="55"/>
      <c r="G62" s="55"/>
      <c r="H62" s="55"/>
      <c r="I62" s="55"/>
      <c r="J62" s="55"/>
    </row>
    <row r="63" spans="1:20" ht="18" customHeight="1" x14ac:dyDescent="0.3">
      <c r="A63" s="62" t="s">
        <v>225</v>
      </c>
      <c r="B63" s="55"/>
      <c r="C63" s="55"/>
      <c r="D63" s="55"/>
      <c r="E63" s="55"/>
      <c r="F63" s="55"/>
      <c r="G63" s="55"/>
      <c r="H63" s="55"/>
      <c r="I63" s="55"/>
      <c r="J63" s="55"/>
    </row>
    <row r="64" spans="1:20" ht="18" customHeight="1" x14ac:dyDescent="0.3">
      <c r="A64" s="62" t="s">
        <v>226</v>
      </c>
      <c r="B64" s="55"/>
      <c r="C64" s="55"/>
      <c r="D64" s="55"/>
      <c r="E64" s="55"/>
      <c r="F64" s="55"/>
      <c r="G64" s="55"/>
      <c r="H64" s="55"/>
      <c r="I64" s="55"/>
      <c r="J64" s="55"/>
    </row>
    <row r="65" spans="1:20" ht="18" customHeight="1" x14ac:dyDescent="0.3">
      <c r="A65" s="62" t="s">
        <v>227</v>
      </c>
      <c r="B65" s="55"/>
      <c r="C65" s="55"/>
      <c r="D65" s="55"/>
      <c r="E65" s="55"/>
      <c r="F65" s="55"/>
      <c r="G65" s="55"/>
      <c r="H65" s="55"/>
      <c r="I65" s="55"/>
      <c r="J65" s="55"/>
    </row>
    <row r="66" spans="1:20" ht="18" customHeight="1" x14ac:dyDescent="0.3">
      <c r="A66" s="59" t="s">
        <v>100</v>
      </c>
      <c r="B66" s="55"/>
      <c r="C66" s="55"/>
      <c r="D66" s="55"/>
      <c r="E66" s="55"/>
      <c r="F66" s="55"/>
      <c r="G66" s="55"/>
      <c r="H66" s="55"/>
      <c r="I66" s="55"/>
      <c r="J66" s="55"/>
    </row>
    <row r="67" spans="1:20" ht="18" customHeight="1" x14ac:dyDescent="0.3">
      <c r="A67" s="59" t="s">
        <v>228</v>
      </c>
      <c r="B67" s="55"/>
      <c r="C67" s="55"/>
      <c r="D67" s="55"/>
      <c r="E67" s="55"/>
      <c r="F67" s="55"/>
      <c r="G67" s="55"/>
      <c r="H67" s="55"/>
      <c r="I67" s="55"/>
      <c r="J67" s="55"/>
    </row>
    <row r="68" spans="1:20" ht="18" customHeight="1" x14ac:dyDescent="0.3">
      <c r="A68" s="59" t="s">
        <v>170</v>
      </c>
      <c r="B68" s="55"/>
      <c r="C68" s="55"/>
      <c r="D68" s="55"/>
      <c r="E68" s="55"/>
      <c r="F68" s="55"/>
      <c r="G68" s="55"/>
      <c r="H68" s="55"/>
      <c r="I68" s="55"/>
      <c r="J68" s="55"/>
    </row>
    <row r="69" spans="1:20" ht="18" customHeight="1" x14ac:dyDescent="0.3">
      <c r="A69" s="62" t="s">
        <v>171</v>
      </c>
      <c r="B69" s="55"/>
      <c r="C69" s="55"/>
      <c r="D69" s="55"/>
      <c r="E69" s="55"/>
      <c r="F69" s="55"/>
      <c r="G69" s="55"/>
      <c r="H69" s="55"/>
      <c r="I69" s="55"/>
      <c r="J69" s="55"/>
    </row>
    <row r="70" spans="1:20" ht="4.05" customHeight="1" x14ac:dyDescent="0.3"/>
    <row r="71" spans="1:20" ht="30" customHeight="1" x14ac:dyDescent="0.3">
      <c r="A71" s="64" t="s">
        <v>229</v>
      </c>
      <c r="B71" s="55"/>
      <c r="C71" s="55"/>
      <c r="D71" s="55"/>
      <c r="E71" s="55"/>
      <c r="F71" s="55"/>
      <c r="G71" s="55"/>
      <c r="H71" s="55"/>
      <c r="I71" s="55"/>
      <c r="J71" s="55"/>
      <c r="L71" s="63" t="s">
        <v>230</v>
      </c>
      <c r="M71" s="55"/>
      <c r="N71" s="55"/>
      <c r="O71" s="55"/>
      <c r="P71" s="55"/>
      <c r="Q71" s="55"/>
      <c r="R71" s="55"/>
      <c r="S71" s="55"/>
      <c r="T71" s="55"/>
    </row>
    <row r="72" spans="1:20" ht="24" customHeight="1" x14ac:dyDescent="0.3">
      <c r="L72" s="1" t="s">
        <v>11</v>
      </c>
      <c r="M72" s="1" t="s">
        <v>24</v>
      </c>
      <c r="N72" s="1" t="s">
        <v>105</v>
      </c>
      <c r="O72" s="1" t="s">
        <v>26</v>
      </c>
      <c r="P72" s="1" t="s">
        <v>155</v>
      </c>
      <c r="Q72" s="1" t="s">
        <v>128</v>
      </c>
      <c r="R72" s="1" t="s">
        <v>231</v>
      </c>
    </row>
    <row r="73" spans="1:20" ht="19.95" customHeight="1" x14ac:dyDescent="0.3">
      <c r="L73" s="37" t="s">
        <v>160</v>
      </c>
      <c r="M73" s="37" t="s">
        <v>130</v>
      </c>
      <c r="N73" s="37">
        <v>1677</v>
      </c>
      <c r="O73" s="37">
        <v>1205</v>
      </c>
      <c r="P73" s="37">
        <v>472</v>
      </c>
      <c r="Q73" s="37">
        <v>71.900000000000006</v>
      </c>
      <c r="R73" s="37" t="s">
        <v>232</v>
      </c>
    </row>
    <row r="74" spans="1:20" ht="19.95" customHeight="1" x14ac:dyDescent="0.3">
      <c r="L74" s="37" t="s">
        <v>159</v>
      </c>
      <c r="M74" s="37" t="s">
        <v>131</v>
      </c>
      <c r="N74" s="37">
        <v>1149</v>
      </c>
      <c r="O74" s="37">
        <v>911</v>
      </c>
      <c r="P74" s="37">
        <v>238</v>
      </c>
      <c r="Q74" s="37">
        <v>79.3</v>
      </c>
      <c r="R74" s="37" t="s">
        <v>232</v>
      </c>
    </row>
    <row r="75" spans="1:20" ht="19.95" customHeight="1" x14ac:dyDescent="0.3">
      <c r="L75" s="38" t="s">
        <v>159</v>
      </c>
      <c r="M75" s="38" t="s">
        <v>132</v>
      </c>
      <c r="N75" s="38">
        <v>624</v>
      </c>
      <c r="O75" s="38">
        <v>421</v>
      </c>
      <c r="P75" s="38">
        <v>203</v>
      </c>
      <c r="Q75" s="38">
        <v>67.5</v>
      </c>
      <c r="R75" s="38" t="s">
        <v>233</v>
      </c>
    </row>
    <row r="76" spans="1:20" ht="19.95" customHeight="1" x14ac:dyDescent="0.3">
      <c r="L76" s="38" t="s">
        <v>159</v>
      </c>
      <c r="M76" s="38" t="s">
        <v>133</v>
      </c>
      <c r="N76" s="38">
        <v>495</v>
      </c>
      <c r="O76" s="38">
        <v>294</v>
      </c>
      <c r="P76" s="38">
        <v>201</v>
      </c>
      <c r="Q76" s="38">
        <v>59.4</v>
      </c>
      <c r="R76" s="38" t="s">
        <v>233</v>
      </c>
    </row>
    <row r="77" spans="1:20" ht="19.95" customHeight="1" x14ac:dyDescent="0.3">
      <c r="L77" s="39" t="s">
        <v>160</v>
      </c>
      <c r="M77" s="39" t="s">
        <v>135</v>
      </c>
      <c r="N77" s="39">
        <v>467</v>
      </c>
      <c r="O77" s="39">
        <v>226</v>
      </c>
      <c r="P77" s="39">
        <v>241</v>
      </c>
      <c r="Q77" s="39">
        <v>48.4</v>
      </c>
      <c r="R77" s="39" t="s">
        <v>234</v>
      </c>
    </row>
    <row r="78" spans="1:20" ht="19.95" customHeight="1" x14ac:dyDescent="0.3">
      <c r="L78" s="38" t="s">
        <v>160</v>
      </c>
      <c r="M78" s="38" t="s">
        <v>134</v>
      </c>
      <c r="N78" s="38">
        <v>325</v>
      </c>
      <c r="O78" s="38">
        <v>214</v>
      </c>
      <c r="P78" s="38">
        <v>111</v>
      </c>
      <c r="Q78" s="38">
        <v>65.8</v>
      </c>
      <c r="R78" s="38" t="s">
        <v>233</v>
      </c>
    </row>
    <row r="79" spans="1:20" ht="19.95" customHeight="1" x14ac:dyDescent="0.3">
      <c r="L79" s="39" t="s">
        <v>160</v>
      </c>
      <c r="M79" s="39" t="s">
        <v>133</v>
      </c>
      <c r="N79" s="39">
        <v>389</v>
      </c>
      <c r="O79" s="39">
        <v>158</v>
      </c>
      <c r="P79" s="39">
        <v>231</v>
      </c>
      <c r="Q79" s="39">
        <v>40.6</v>
      </c>
      <c r="R79" s="39" t="s">
        <v>234</v>
      </c>
    </row>
    <row r="80" spans="1:20" ht="19.95" customHeight="1" x14ac:dyDescent="0.3">
      <c r="L80" s="38" t="s">
        <v>159</v>
      </c>
      <c r="M80" s="38" t="s">
        <v>134</v>
      </c>
      <c r="N80" s="38">
        <v>253</v>
      </c>
      <c r="O80" s="38">
        <v>150</v>
      </c>
      <c r="P80" s="38">
        <v>103</v>
      </c>
      <c r="Q80" s="38">
        <v>59.3</v>
      </c>
      <c r="R80" s="38" t="s">
        <v>233</v>
      </c>
    </row>
    <row r="81" spans="1:20" ht="19.95" customHeight="1" x14ac:dyDescent="0.3">
      <c r="L81" s="39" t="s">
        <v>160</v>
      </c>
      <c r="M81" s="39" t="s">
        <v>132</v>
      </c>
      <c r="N81" s="39">
        <v>323</v>
      </c>
      <c r="O81" s="39">
        <v>127</v>
      </c>
      <c r="P81" s="39">
        <v>196</v>
      </c>
      <c r="Q81" s="39">
        <v>39.299999999999997</v>
      </c>
      <c r="R81" s="39" t="s">
        <v>234</v>
      </c>
    </row>
    <row r="82" spans="1:20" ht="19.95" customHeight="1" x14ac:dyDescent="0.3">
      <c r="L82" s="39" t="s">
        <v>159</v>
      </c>
      <c r="M82" s="39" t="s">
        <v>135</v>
      </c>
      <c r="N82" s="39">
        <v>291</v>
      </c>
      <c r="O82" s="39">
        <v>91</v>
      </c>
      <c r="P82" s="39">
        <v>200</v>
      </c>
      <c r="Q82" s="39">
        <v>31.3</v>
      </c>
      <c r="R82" s="39" t="s">
        <v>234</v>
      </c>
    </row>
    <row r="84" spans="1:20" ht="7.95" customHeight="1" x14ac:dyDescent="0.3"/>
    <row r="85" spans="1:20" ht="25.95" customHeight="1" x14ac:dyDescent="0.3">
      <c r="A85" s="54" t="s">
        <v>235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</row>
    <row r="86" spans="1:20" ht="19.95" customHeight="1" x14ac:dyDescent="0.3">
      <c r="A86" s="60" t="s">
        <v>236</v>
      </c>
      <c r="B86" s="55"/>
      <c r="C86" s="55"/>
      <c r="D86" s="55"/>
      <c r="E86" s="55"/>
      <c r="F86" s="55"/>
      <c r="G86" s="55"/>
      <c r="H86" s="55"/>
      <c r="I86" s="55"/>
      <c r="J86" s="55"/>
    </row>
    <row r="87" spans="1:20" ht="18" customHeight="1" x14ac:dyDescent="0.3">
      <c r="A87" s="59" t="s">
        <v>91</v>
      </c>
      <c r="B87" s="55"/>
      <c r="C87" s="55"/>
      <c r="D87" s="55"/>
      <c r="E87" s="55"/>
      <c r="F87" s="55"/>
      <c r="G87" s="55"/>
      <c r="H87" s="55"/>
      <c r="I87" s="55"/>
      <c r="J87" s="55"/>
    </row>
    <row r="88" spans="1:20" ht="18" customHeight="1" x14ac:dyDescent="0.3">
      <c r="A88" s="62" t="s">
        <v>163</v>
      </c>
      <c r="B88" s="55"/>
      <c r="C88" s="55"/>
      <c r="D88" s="55"/>
      <c r="E88" s="55"/>
      <c r="F88" s="55"/>
      <c r="G88" s="55"/>
      <c r="H88" s="55"/>
      <c r="I88" s="55"/>
      <c r="J88" s="55"/>
    </row>
    <row r="89" spans="1:20" ht="18" customHeight="1" x14ac:dyDescent="0.3">
      <c r="A89" s="62" t="s">
        <v>116</v>
      </c>
      <c r="B89" s="55"/>
      <c r="C89" s="55"/>
      <c r="D89" s="55"/>
      <c r="E89" s="55"/>
      <c r="F89" s="55"/>
      <c r="G89" s="55"/>
      <c r="H89" s="55"/>
      <c r="I89" s="55"/>
      <c r="J89" s="55"/>
    </row>
    <row r="90" spans="1:20" ht="18" customHeight="1" x14ac:dyDescent="0.3">
      <c r="A90" s="61" t="s">
        <v>237</v>
      </c>
      <c r="B90" s="55"/>
      <c r="C90" s="55"/>
      <c r="D90" s="55"/>
      <c r="E90" s="55"/>
      <c r="F90" s="55"/>
      <c r="G90" s="55"/>
      <c r="H90" s="55"/>
      <c r="I90" s="55"/>
      <c r="J90" s="55"/>
    </row>
    <row r="91" spans="1:20" ht="18" customHeight="1" x14ac:dyDescent="0.3">
      <c r="A91" s="61" t="s">
        <v>198</v>
      </c>
      <c r="B91" s="55"/>
      <c r="C91" s="55"/>
      <c r="D91" s="55"/>
      <c r="E91" s="55"/>
      <c r="F91" s="55"/>
      <c r="G91" s="55"/>
      <c r="H91" s="55"/>
      <c r="I91" s="55"/>
      <c r="J91" s="55"/>
    </row>
    <row r="92" spans="1:20" ht="18" customHeight="1" x14ac:dyDescent="0.3">
      <c r="A92" s="61" t="s">
        <v>199</v>
      </c>
      <c r="B92" s="55"/>
      <c r="C92" s="55"/>
      <c r="D92" s="55"/>
      <c r="E92" s="55"/>
      <c r="F92" s="55"/>
      <c r="G92" s="55"/>
      <c r="H92" s="55"/>
      <c r="I92" s="55"/>
      <c r="J92" s="55"/>
    </row>
    <row r="93" spans="1:20" ht="18" customHeight="1" x14ac:dyDescent="0.3">
      <c r="A93" s="61" t="s">
        <v>143</v>
      </c>
      <c r="B93" s="55"/>
      <c r="C93" s="55"/>
      <c r="D93" s="55"/>
      <c r="E93" s="55"/>
      <c r="F93" s="55"/>
      <c r="G93" s="55"/>
      <c r="H93" s="55"/>
      <c r="I93" s="55"/>
      <c r="J93" s="55"/>
    </row>
    <row r="94" spans="1:20" ht="18" customHeight="1" x14ac:dyDescent="0.3">
      <c r="A94" s="62" t="s">
        <v>238</v>
      </c>
      <c r="B94" s="55"/>
      <c r="C94" s="55"/>
      <c r="D94" s="55"/>
      <c r="E94" s="55"/>
      <c r="F94" s="55"/>
      <c r="G94" s="55"/>
      <c r="H94" s="55"/>
      <c r="I94" s="55"/>
      <c r="J94" s="55"/>
    </row>
    <row r="95" spans="1:20" ht="18" customHeight="1" x14ac:dyDescent="0.3">
      <c r="A95" s="61" t="s">
        <v>145</v>
      </c>
      <c r="B95" s="55"/>
      <c r="C95" s="55"/>
      <c r="D95" s="55"/>
      <c r="E95" s="55"/>
      <c r="F95" s="55"/>
      <c r="G95" s="55"/>
      <c r="H95" s="55"/>
      <c r="I95" s="55"/>
      <c r="J95" s="55"/>
    </row>
    <row r="96" spans="1:20" ht="18" customHeight="1" x14ac:dyDescent="0.3">
      <c r="A96" s="62" t="s">
        <v>239</v>
      </c>
      <c r="B96" s="55"/>
      <c r="C96" s="55"/>
      <c r="D96" s="55"/>
      <c r="E96" s="55"/>
      <c r="F96" s="55"/>
      <c r="G96" s="55"/>
      <c r="H96" s="55"/>
      <c r="I96" s="55"/>
      <c r="J96" s="55"/>
    </row>
    <row r="97" spans="1:20" ht="18" customHeight="1" x14ac:dyDescent="0.3">
      <c r="A97" s="59" t="s">
        <v>100</v>
      </c>
      <c r="B97" s="55"/>
      <c r="C97" s="55"/>
      <c r="D97" s="55"/>
      <c r="E97" s="55"/>
      <c r="F97" s="55"/>
      <c r="G97" s="55"/>
      <c r="H97" s="55"/>
      <c r="I97" s="55"/>
      <c r="J97" s="55"/>
    </row>
    <row r="98" spans="1:20" ht="18" customHeight="1" x14ac:dyDescent="0.3">
      <c r="A98" s="59" t="s">
        <v>169</v>
      </c>
      <c r="B98" s="55"/>
      <c r="C98" s="55"/>
      <c r="D98" s="55"/>
      <c r="E98" s="55"/>
      <c r="F98" s="55"/>
      <c r="G98" s="55"/>
      <c r="H98" s="55"/>
      <c r="I98" s="55"/>
      <c r="J98" s="55"/>
    </row>
    <row r="99" spans="1:20" ht="18" customHeight="1" x14ac:dyDescent="0.3">
      <c r="A99" s="59" t="s">
        <v>240</v>
      </c>
      <c r="B99" s="55"/>
      <c r="C99" s="55"/>
      <c r="D99" s="55"/>
      <c r="E99" s="55"/>
      <c r="F99" s="55"/>
      <c r="G99" s="55"/>
      <c r="H99" s="55"/>
      <c r="I99" s="55"/>
      <c r="J99" s="55"/>
    </row>
    <row r="100" spans="1:20" ht="4.05" customHeight="1" x14ac:dyDescent="0.3"/>
    <row r="101" spans="1:20" ht="30" customHeight="1" x14ac:dyDescent="0.3">
      <c r="A101" s="64" t="s">
        <v>241</v>
      </c>
      <c r="B101" s="55"/>
      <c r="C101" s="55"/>
      <c r="D101" s="55"/>
      <c r="E101" s="55"/>
      <c r="F101" s="55"/>
      <c r="G101" s="55"/>
      <c r="H101" s="55"/>
      <c r="I101" s="55"/>
      <c r="J101" s="55"/>
      <c r="L101" s="63" t="s">
        <v>242</v>
      </c>
      <c r="M101" s="55"/>
      <c r="N101" s="55"/>
      <c r="O101" s="55"/>
      <c r="P101" s="55"/>
      <c r="Q101" s="55"/>
      <c r="R101" s="55"/>
      <c r="S101" s="55"/>
      <c r="T101" s="55"/>
    </row>
    <row r="102" spans="1:20" ht="24" customHeight="1" x14ac:dyDescent="0.3">
      <c r="L102" s="1" t="s">
        <v>18</v>
      </c>
      <c r="M102" s="1" t="s">
        <v>24</v>
      </c>
      <c r="N102" s="1" t="s">
        <v>153</v>
      </c>
      <c r="O102" s="1" t="s">
        <v>112</v>
      </c>
      <c r="P102" s="1" t="s">
        <v>154</v>
      </c>
      <c r="Q102" s="1" t="s">
        <v>243</v>
      </c>
      <c r="R102" s="1" t="s">
        <v>244</v>
      </c>
    </row>
    <row r="103" spans="1:20" ht="19.95" customHeight="1" x14ac:dyDescent="0.3">
      <c r="L103" s="2">
        <v>0</v>
      </c>
      <c r="M103" s="2" t="s">
        <v>134</v>
      </c>
      <c r="N103" s="2">
        <v>99</v>
      </c>
      <c r="O103" s="2">
        <v>3</v>
      </c>
      <c r="P103" s="2">
        <v>56</v>
      </c>
      <c r="Q103" s="2">
        <v>3</v>
      </c>
      <c r="R103" s="2">
        <v>56.6</v>
      </c>
    </row>
    <row r="104" spans="1:20" ht="19.95" customHeight="1" x14ac:dyDescent="0.3">
      <c r="L104" s="3">
        <v>1</v>
      </c>
      <c r="M104" s="3" t="s">
        <v>134</v>
      </c>
      <c r="N104" s="3">
        <v>85</v>
      </c>
      <c r="O104" s="3">
        <v>4</v>
      </c>
      <c r="P104" s="3">
        <v>56</v>
      </c>
      <c r="Q104" s="3">
        <v>4.7</v>
      </c>
      <c r="R104" s="3">
        <v>65.900000000000006</v>
      </c>
    </row>
    <row r="105" spans="1:20" ht="19.95" customHeight="1" x14ac:dyDescent="0.3">
      <c r="L105" s="2">
        <v>2</v>
      </c>
      <c r="M105" s="2" t="s">
        <v>134</v>
      </c>
      <c r="N105" s="2">
        <v>99</v>
      </c>
      <c r="O105" s="2">
        <v>5</v>
      </c>
      <c r="P105" s="2">
        <v>57</v>
      </c>
      <c r="Q105" s="2">
        <v>5.0999999999999996</v>
      </c>
      <c r="R105" s="2">
        <v>57.6</v>
      </c>
    </row>
    <row r="106" spans="1:20" ht="19.95" customHeight="1" x14ac:dyDescent="0.3">
      <c r="L106" s="3">
        <v>3</v>
      </c>
      <c r="M106" s="3" t="s">
        <v>134</v>
      </c>
      <c r="N106" s="3">
        <v>92</v>
      </c>
      <c r="O106" s="3">
        <v>2</v>
      </c>
      <c r="P106" s="3">
        <v>56</v>
      </c>
      <c r="Q106" s="3">
        <v>2.2000000000000002</v>
      </c>
      <c r="R106" s="3">
        <v>60.9</v>
      </c>
    </row>
    <row r="107" spans="1:20" ht="19.95" customHeight="1" x14ac:dyDescent="0.3">
      <c r="L107" s="2">
        <v>4</v>
      </c>
      <c r="M107" s="2" t="s">
        <v>134</v>
      </c>
      <c r="N107" s="2">
        <v>203</v>
      </c>
      <c r="O107" s="2">
        <v>51</v>
      </c>
      <c r="P107" s="2">
        <v>74</v>
      </c>
      <c r="Q107" s="2">
        <v>25.1</v>
      </c>
      <c r="R107" s="2">
        <v>36.5</v>
      </c>
    </row>
    <row r="108" spans="1:20" ht="19.95" customHeight="1" x14ac:dyDescent="0.3">
      <c r="L108" s="3">
        <v>5</v>
      </c>
      <c r="M108" s="3" t="s">
        <v>130</v>
      </c>
      <c r="N108" s="3">
        <v>445</v>
      </c>
      <c r="O108" s="3">
        <v>176</v>
      </c>
      <c r="P108" s="3">
        <v>84</v>
      </c>
      <c r="Q108" s="3">
        <v>39.6</v>
      </c>
      <c r="R108" s="3">
        <v>18.899999999999999</v>
      </c>
    </row>
    <row r="109" spans="1:20" ht="19.95" customHeight="1" x14ac:dyDescent="0.3">
      <c r="L109" s="2">
        <v>6</v>
      </c>
      <c r="M109" s="2" t="s">
        <v>130</v>
      </c>
      <c r="N109" s="2">
        <v>398</v>
      </c>
      <c r="O109" s="2">
        <v>145</v>
      </c>
      <c r="P109" s="2">
        <v>86</v>
      </c>
      <c r="Q109" s="2">
        <v>36.4</v>
      </c>
      <c r="R109" s="2">
        <v>21.6</v>
      </c>
    </row>
    <row r="110" spans="1:20" ht="19.95" customHeight="1" x14ac:dyDescent="0.3">
      <c r="L110" s="3">
        <v>7</v>
      </c>
      <c r="M110" s="3" t="s">
        <v>130</v>
      </c>
      <c r="N110" s="3">
        <v>406</v>
      </c>
      <c r="O110" s="3">
        <v>169</v>
      </c>
      <c r="P110" s="3">
        <v>63</v>
      </c>
      <c r="Q110" s="3">
        <v>41.6</v>
      </c>
      <c r="R110" s="3">
        <v>15.5</v>
      </c>
    </row>
    <row r="111" spans="1:20" ht="19.95" customHeight="1" x14ac:dyDescent="0.3">
      <c r="L111" s="2">
        <v>8</v>
      </c>
      <c r="M111" s="2" t="s">
        <v>130</v>
      </c>
      <c r="N111" s="2">
        <v>423</v>
      </c>
      <c r="O111" s="2">
        <v>178</v>
      </c>
      <c r="P111" s="2">
        <v>90</v>
      </c>
      <c r="Q111" s="2">
        <v>42.1</v>
      </c>
      <c r="R111" s="2">
        <v>21.3</v>
      </c>
    </row>
    <row r="112" spans="1:20" ht="19.95" customHeight="1" x14ac:dyDescent="0.3">
      <c r="L112" s="3">
        <v>9</v>
      </c>
      <c r="M112" s="3" t="s">
        <v>130</v>
      </c>
      <c r="N112" s="3">
        <v>431</v>
      </c>
      <c r="O112" s="3">
        <v>175</v>
      </c>
      <c r="P112" s="3">
        <v>83</v>
      </c>
      <c r="Q112" s="3">
        <v>40.6</v>
      </c>
      <c r="R112" s="3">
        <v>19.3</v>
      </c>
    </row>
    <row r="113" spans="12:18" ht="19.95" customHeight="1" x14ac:dyDescent="0.3">
      <c r="L113" s="2">
        <v>10</v>
      </c>
      <c r="M113" s="2" t="s">
        <v>135</v>
      </c>
      <c r="N113" s="2">
        <v>243</v>
      </c>
      <c r="O113" s="2">
        <v>62</v>
      </c>
      <c r="P113" s="2">
        <v>65</v>
      </c>
      <c r="Q113" s="2">
        <v>25.5</v>
      </c>
      <c r="R113" s="2">
        <v>26.7</v>
      </c>
    </row>
    <row r="114" spans="12:18" ht="19.95" customHeight="1" x14ac:dyDescent="0.3">
      <c r="L114" s="3">
        <v>11</v>
      </c>
      <c r="M114" s="3" t="s">
        <v>135</v>
      </c>
      <c r="N114" s="3">
        <v>171</v>
      </c>
      <c r="O114" s="3">
        <v>15</v>
      </c>
      <c r="P114" s="3">
        <v>41</v>
      </c>
      <c r="Q114" s="3">
        <v>8.8000000000000007</v>
      </c>
      <c r="R114" s="3">
        <v>24</v>
      </c>
    </row>
    <row r="115" spans="12:18" ht="19.95" customHeight="1" x14ac:dyDescent="0.3">
      <c r="L115" s="2">
        <v>12</v>
      </c>
      <c r="M115" s="2" t="s">
        <v>135</v>
      </c>
      <c r="N115" s="2">
        <v>184</v>
      </c>
      <c r="O115" s="2">
        <v>19</v>
      </c>
      <c r="P115" s="2">
        <v>44</v>
      </c>
      <c r="Q115" s="2">
        <v>10.3</v>
      </c>
      <c r="R115" s="2">
        <v>23.9</v>
      </c>
    </row>
    <row r="116" spans="12:18" ht="19.95" customHeight="1" x14ac:dyDescent="0.3">
      <c r="L116" s="3">
        <v>13</v>
      </c>
      <c r="M116" s="3" t="s">
        <v>135</v>
      </c>
      <c r="N116" s="3">
        <v>160</v>
      </c>
      <c r="O116" s="3">
        <v>18</v>
      </c>
      <c r="P116" s="3">
        <v>53</v>
      </c>
      <c r="Q116" s="3">
        <v>11.3</v>
      </c>
      <c r="R116" s="3">
        <v>33.1</v>
      </c>
    </row>
    <row r="117" spans="12:18" ht="19.95" customHeight="1" x14ac:dyDescent="0.3">
      <c r="L117" s="2">
        <v>14</v>
      </c>
      <c r="M117" s="2" t="s">
        <v>133</v>
      </c>
      <c r="N117" s="2">
        <v>136</v>
      </c>
      <c r="O117" s="2">
        <v>11</v>
      </c>
      <c r="P117" s="2">
        <v>37</v>
      </c>
      <c r="Q117" s="2">
        <v>8.1</v>
      </c>
      <c r="R117" s="2">
        <v>27.2</v>
      </c>
    </row>
    <row r="118" spans="12:18" ht="19.95" customHeight="1" x14ac:dyDescent="0.3">
      <c r="L118" s="3">
        <v>15</v>
      </c>
      <c r="M118" s="3" t="s">
        <v>133</v>
      </c>
      <c r="N118" s="3">
        <v>171</v>
      </c>
      <c r="O118" s="3">
        <v>21</v>
      </c>
      <c r="P118" s="3">
        <v>48</v>
      </c>
      <c r="Q118" s="3">
        <v>12.3</v>
      </c>
      <c r="R118" s="3">
        <v>28.1</v>
      </c>
    </row>
    <row r="119" spans="12:18" ht="19.95" customHeight="1" x14ac:dyDescent="0.3">
      <c r="L119" s="2">
        <v>16</v>
      </c>
      <c r="M119" s="2" t="s">
        <v>133</v>
      </c>
      <c r="N119" s="2">
        <v>159</v>
      </c>
      <c r="O119" s="2">
        <v>22</v>
      </c>
      <c r="P119" s="2">
        <v>46</v>
      </c>
      <c r="Q119" s="2">
        <v>13.8</v>
      </c>
      <c r="R119" s="2">
        <v>28.9</v>
      </c>
    </row>
    <row r="120" spans="12:18" ht="19.95" customHeight="1" x14ac:dyDescent="0.3">
      <c r="L120" s="3">
        <v>17</v>
      </c>
      <c r="M120" s="3" t="s">
        <v>133</v>
      </c>
      <c r="N120" s="3">
        <v>418</v>
      </c>
      <c r="O120" s="3">
        <v>35</v>
      </c>
      <c r="P120" s="3">
        <v>232</v>
      </c>
      <c r="Q120" s="3">
        <v>8.4</v>
      </c>
      <c r="R120" s="3">
        <v>55.5</v>
      </c>
    </row>
    <row r="121" spans="12:18" ht="19.95" customHeight="1" x14ac:dyDescent="0.3">
      <c r="L121" s="2">
        <v>18</v>
      </c>
      <c r="M121" s="2" t="s">
        <v>131</v>
      </c>
      <c r="N121" s="2">
        <v>510</v>
      </c>
      <c r="O121" s="2">
        <v>24</v>
      </c>
      <c r="P121" s="2">
        <v>322</v>
      </c>
      <c r="Q121" s="2">
        <v>4.7</v>
      </c>
      <c r="R121" s="2">
        <v>63.1</v>
      </c>
    </row>
    <row r="122" spans="12:18" ht="19.95" customHeight="1" x14ac:dyDescent="0.3">
      <c r="L122" s="3">
        <v>19</v>
      </c>
      <c r="M122" s="3" t="s">
        <v>131</v>
      </c>
      <c r="N122" s="3">
        <v>473</v>
      </c>
      <c r="O122" s="3">
        <v>24</v>
      </c>
      <c r="P122" s="3">
        <v>283</v>
      </c>
      <c r="Q122" s="3">
        <v>5.0999999999999996</v>
      </c>
      <c r="R122" s="3">
        <v>59.8</v>
      </c>
    </row>
    <row r="123" spans="12:18" ht="19.95" customHeight="1" x14ac:dyDescent="0.3">
      <c r="L123" s="2">
        <v>20</v>
      </c>
      <c r="M123" s="2" t="s">
        <v>131</v>
      </c>
      <c r="N123" s="2">
        <v>492</v>
      </c>
      <c r="O123" s="2">
        <v>41</v>
      </c>
      <c r="P123" s="2">
        <v>290</v>
      </c>
      <c r="Q123" s="2">
        <v>8.3000000000000007</v>
      </c>
      <c r="R123" s="2">
        <v>58.9</v>
      </c>
    </row>
    <row r="124" spans="12:18" ht="19.95" customHeight="1" x14ac:dyDescent="0.3">
      <c r="L124" s="3">
        <v>21</v>
      </c>
      <c r="M124" s="3" t="s">
        <v>132</v>
      </c>
      <c r="N124" s="3">
        <v>449</v>
      </c>
      <c r="O124" s="3">
        <v>42</v>
      </c>
      <c r="P124" s="3">
        <v>265</v>
      </c>
      <c r="Q124" s="3">
        <v>9.4</v>
      </c>
      <c r="R124" s="3">
        <v>59</v>
      </c>
    </row>
    <row r="125" spans="12:18" ht="19.95" customHeight="1" x14ac:dyDescent="0.3">
      <c r="L125" s="2">
        <v>22</v>
      </c>
      <c r="M125" s="2" t="s">
        <v>132</v>
      </c>
      <c r="N125" s="2">
        <v>304</v>
      </c>
      <c r="O125" s="2">
        <v>12</v>
      </c>
      <c r="P125" s="2">
        <v>138</v>
      </c>
      <c r="Q125" s="2">
        <v>3.9</v>
      </c>
      <c r="R125" s="2">
        <v>45.4</v>
      </c>
    </row>
    <row r="126" spans="12:18" ht="19.95" customHeight="1" x14ac:dyDescent="0.3">
      <c r="L126" s="3">
        <v>23</v>
      </c>
      <c r="M126" s="3" t="s">
        <v>132</v>
      </c>
      <c r="N126" s="3">
        <v>194</v>
      </c>
      <c r="O126" s="3">
        <v>10</v>
      </c>
      <c r="P126" s="3">
        <v>81</v>
      </c>
      <c r="Q126" s="3">
        <v>5.2</v>
      </c>
      <c r="R126" s="3">
        <v>41.8</v>
      </c>
    </row>
  </sheetData>
  <mergeCells count="74">
    <mergeCell ref="A99:J99"/>
    <mergeCell ref="A37:J37"/>
    <mergeCell ref="A71:J71"/>
    <mergeCell ref="A89:J89"/>
    <mergeCell ref="L101:T101"/>
    <mergeCell ref="A56:J56"/>
    <mergeCell ref="A55:J55"/>
    <mergeCell ref="A57:J57"/>
    <mergeCell ref="A95:J95"/>
    <mergeCell ref="A101:J101"/>
    <mergeCell ref="A86:J86"/>
    <mergeCell ref="A42:J42"/>
    <mergeCell ref="A2:T2"/>
    <mergeCell ref="A16:J16"/>
    <mergeCell ref="A54:J54"/>
    <mergeCell ref="A85:T85"/>
    <mergeCell ref="A90:J90"/>
    <mergeCell ref="A66:J66"/>
    <mergeCell ref="A4:T4"/>
    <mergeCell ref="A18:J18"/>
    <mergeCell ref="A27:J27"/>
    <mergeCell ref="A12:J12"/>
    <mergeCell ref="A33:J33"/>
    <mergeCell ref="A98:J98"/>
    <mergeCell ref="A11:J11"/>
    <mergeCell ref="A94:J94"/>
    <mergeCell ref="A36:J36"/>
    <mergeCell ref="A61:J61"/>
    <mergeCell ref="A88:J88"/>
    <mergeCell ref="A26:T26"/>
    <mergeCell ref="A69:J69"/>
    <mergeCell ref="A87:J87"/>
    <mergeCell ref="A65:J65"/>
    <mergeCell ref="A1:T1"/>
    <mergeCell ref="A68:J68"/>
    <mergeCell ref="L20:T20"/>
    <mergeCell ref="A93:J93"/>
    <mergeCell ref="A31:J31"/>
    <mergeCell ref="A58:J58"/>
    <mergeCell ref="A40:J40"/>
    <mergeCell ref="A9:J9"/>
    <mergeCell ref="A67:J67"/>
    <mergeCell ref="A92:J92"/>
    <mergeCell ref="A30:J30"/>
    <mergeCell ref="A39:J39"/>
    <mergeCell ref="A34:J34"/>
    <mergeCell ref="A15:J15"/>
    <mergeCell ref="A59:J59"/>
    <mergeCell ref="A64:J64"/>
    <mergeCell ref="A97:J97"/>
    <mergeCell ref="A17:J17"/>
    <mergeCell ref="L71:T71"/>
    <mergeCell ref="A62:J62"/>
    <mergeCell ref="A53:J53"/>
    <mergeCell ref="A91:J91"/>
    <mergeCell ref="A29:J29"/>
    <mergeCell ref="A35:J35"/>
    <mergeCell ref="A20:J20"/>
    <mergeCell ref="A38:J38"/>
    <mergeCell ref="A51:T51"/>
    <mergeCell ref="A96:J96"/>
    <mergeCell ref="A52:J52"/>
    <mergeCell ref="A28:J28"/>
    <mergeCell ref="A63:J63"/>
    <mergeCell ref="A60:J60"/>
    <mergeCell ref="A5:J5"/>
    <mergeCell ref="A32:J32"/>
    <mergeCell ref="A8:J8"/>
    <mergeCell ref="A14:J14"/>
    <mergeCell ref="L42:T42"/>
    <mergeCell ref="A10:J10"/>
    <mergeCell ref="A13:J13"/>
    <mergeCell ref="A6:J6"/>
    <mergeCell ref="A7:J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46"/>
  <sheetViews>
    <sheetView showGridLines="0" topLeftCell="A36" zoomScale="85" workbookViewId="0">
      <selection sqref="A1:T1"/>
    </sheetView>
  </sheetViews>
  <sheetFormatPr defaultRowHeight="14.4" x14ac:dyDescent="0.3"/>
  <cols>
    <col min="1" max="1" width="42" customWidth="1"/>
    <col min="2" max="10" width="4" customWidth="1"/>
    <col min="11" max="11" width="3" customWidth="1"/>
    <col min="12" max="12" width="14" customWidth="1"/>
    <col min="13" max="13" width="16" customWidth="1"/>
    <col min="14" max="18" width="14" customWidth="1"/>
    <col min="19" max="20" width="12" customWidth="1"/>
  </cols>
  <sheetData>
    <row r="1" spans="1:20" ht="36" customHeight="1" x14ac:dyDescent="0.3">
      <c r="A1" s="58" t="s">
        <v>245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4.95" customHeight="1" x14ac:dyDescent="0.3">
      <c r="A2" s="57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7.95" customHeight="1" x14ac:dyDescent="0.3"/>
    <row r="4" spans="1:20" ht="25.95" customHeight="1" x14ac:dyDescent="0.3">
      <c r="A4" s="54" t="s">
        <v>246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ht="19.95" customHeight="1" x14ac:dyDescent="0.3">
      <c r="A5" s="60" t="s">
        <v>247</v>
      </c>
      <c r="B5" s="55"/>
      <c r="C5" s="55"/>
      <c r="D5" s="55"/>
      <c r="E5" s="55"/>
      <c r="F5" s="55"/>
      <c r="G5" s="55"/>
      <c r="H5" s="55"/>
      <c r="I5" s="55"/>
      <c r="J5" s="55"/>
    </row>
    <row r="6" spans="1:20" ht="18" customHeight="1" x14ac:dyDescent="0.3">
      <c r="A6" s="65" t="s">
        <v>248</v>
      </c>
      <c r="B6" s="55"/>
      <c r="C6" s="55"/>
      <c r="D6" s="55"/>
      <c r="E6" s="55"/>
      <c r="F6" s="55"/>
      <c r="G6" s="55"/>
      <c r="H6" s="55"/>
      <c r="I6" s="55"/>
      <c r="J6" s="55"/>
    </row>
    <row r="7" spans="1:20" ht="18" customHeight="1" x14ac:dyDescent="0.3">
      <c r="A7" s="59" t="s">
        <v>91</v>
      </c>
      <c r="B7" s="55"/>
      <c r="C7" s="55"/>
      <c r="D7" s="55"/>
      <c r="E7" s="55"/>
      <c r="F7" s="55"/>
      <c r="G7" s="55"/>
      <c r="H7" s="55"/>
      <c r="I7" s="55"/>
      <c r="J7" s="55"/>
    </row>
    <row r="8" spans="1:20" ht="18" customHeight="1" x14ac:dyDescent="0.3">
      <c r="A8" s="62" t="s">
        <v>249</v>
      </c>
      <c r="B8" s="55"/>
      <c r="C8" s="55"/>
      <c r="D8" s="55"/>
      <c r="E8" s="55"/>
      <c r="F8" s="55"/>
      <c r="G8" s="55"/>
      <c r="H8" s="55"/>
      <c r="I8" s="55"/>
      <c r="J8" s="55"/>
    </row>
    <row r="9" spans="1:20" ht="18" customHeight="1" x14ac:dyDescent="0.3">
      <c r="A9" s="61" t="s">
        <v>250</v>
      </c>
      <c r="B9" s="55"/>
      <c r="C9" s="55"/>
      <c r="D9" s="55"/>
      <c r="E9" s="55"/>
      <c r="F9" s="55"/>
      <c r="G9" s="55"/>
      <c r="H9" s="55"/>
      <c r="I9" s="55"/>
      <c r="J9" s="55"/>
    </row>
    <row r="10" spans="1:20" ht="18" customHeight="1" x14ac:dyDescent="0.3">
      <c r="A10" s="61" t="s">
        <v>251</v>
      </c>
      <c r="B10" s="55"/>
      <c r="C10" s="55"/>
      <c r="D10" s="55"/>
      <c r="E10" s="55"/>
      <c r="F10" s="55"/>
      <c r="G10" s="55"/>
      <c r="H10" s="55"/>
      <c r="I10" s="55"/>
      <c r="J10" s="55"/>
    </row>
    <row r="11" spans="1:20" ht="18" customHeight="1" x14ac:dyDescent="0.3">
      <c r="A11" s="61" t="s">
        <v>252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20" ht="18" customHeight="1" x14ac:dyDescent="0.3">
      <c r="A12" s="61" t="s">
        <v>253</v>
      </c>
      <c r="B12" s="55"/>
      <c r="C12" s="55"/>
      <c r="D12" s="55"/>
      <c r="E12" s="55"/>
      <c r="F12" s="55"/>
      <c r="G12" s="55"/>
      <c r="H12" s="55"/>
      <c r="I12" s="55"/>
      <c r="J12" s="55"/>
    </row>
    <row r="13" spans="1:20" ht="18" customHeight="1" x14ac:dyDescent="0.3">
      <c r="A13" s="61" t="s">
        <v>254</v>
      </c>
      <c r="B13" s="55"/>
      <c r="C13" s="55"/>
      <c r="D13" s="55"/>
      <c r="E13" s="55"/>
      <c r="F13" s="55"/>
      <c r="G13" s="55"/>
      <c r="H13" s="55"/>
      <c r="I13" s="55"/>
      <c r="J13" s="55"/>
    </row>
    <row r="14" spans="1:20" ht="18" customHeight="1" x14ac:dyDescent="0.3">
      <c r="A14" s="59" t="s">
        <v>100</v>
      </c>
      <c r="B14" s="55"/>
      <c r="C14" s="55"/>
      <c r="D14" s="55"/>
      <c r="E14" s="55"/>
      <c r="F14" s="55"/>
      <c r="G14" s="55"/>
      <c r="H14" s="55"/>
      <c r="I14" s="55"/>
      <c r="J14" s="55"/>
    </row>
    <row r="15" spans="1:20" ht="18" customHeight="1" x14ac:dyDescent="0.3">
      <c r="A15" s="59" t="s">
        <v>183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20" ht="18" customHeight="1" x14ac:dyDescent="0.3">
      <c r="A16" s="62" t="s">
        <v>255</v>
      </c>
      <c r="B16" s="55"/>
      <c r="C16" s="55"/>
      <c r="D16" s="55"/>
      <c r="E16" s="55"/>
      <c r="F16" s="55"/>
      <c r="G16" s="55"/>
      <c r="H16" s="55"/>
      <c r="I16" s="55"/>
      <c r="J16" s="55"/>
    </row>
    <row r="17" spans="1:20" ht="18" customHeight="1" x14ac:dyDescent="0.3">
      <c r="A17" s="62" t="s">
        <v>184</v>
      </c>
      <c r="B17" s="55"/>
      <c r="C17" s="55"/>
      <c r="D17" s="55"/>
      <c r="E17" s="55"/>
      <c r="F17" s="55"/>
      <c r="G17" s="55"/>
      <c r="H17" s="55"/>
      <c r="I17" s="55"/>
      <c r="J17" s="55"/>
    </row>
    <row r="18" spans="1:20" ht="18" customHeight="1" x14ac:dyDescent="0.3">
      <c r="A18" s="59" t="s">
        <v>256</v>
      </c>
      <c r="B18" s="55"/>
      <c r="C18" s="55"/>
      <c r="D18" s="55"/>
      <c r="E18" s="55"/>
      <c r="F18" s="55"/>
      <c r="G18" s="55"/>
      <c r="H18" s="55"/>
      <c r="I18" s="55"/>
      <c r="J18" s="55"/>
    </row>
    <row r="19" spans="1:20" ht="18" customHeight="1" x14ac:dyDescent="0.3">
      <c r="A19" s="59" t="s">
        <v>257</v>
      </c>
      <c r="B19" s="55"/>
      <c r="C19" s="55"/>
      <c r="D19" s="55"/>
      <c r="E19" s="55"/>
      <c r="F19" s="55"/>
      <c r="G19" s="55"/>
      <c r="H19" s="55"/>
      <c r="I19" s="55"/>
      <c r="J19" s="55"/>
    </row>
    <row r="20" spans="1:20" ht="18" customHeight="1" x14ac:dyDescent="0.3">
      <c r="A20" s="62" t="s">
        <v>171</v>
      </c>
      <c r="B20" s="55"/>
      <c r="C20" s="55"/>
      <c r="D20" s="55"/>
      <c r="E20" s="55"/>
      <c r="F20" s="55"/>
      <c r="G20" s="55"/>
      <c r="H20" s="55"/>
      <c r="I20" s="55"/>
      <c r="J20" s="55"/>
    </row>
    <row r="21" spans="1:20" ht="4.05" customHeight="1" x14ac:dyDescent="0.3"/>
    <row r="22" spans="1:20" ht="30" customHeight="1" x14ac:dyDescent="0.3">
      <c r="A22" s="64" t="s">
        <v>258</v>
      </c>
      <c r="B22" s="55"/>
      <c r="C22" s="55"/>
      <c r="D22" s="55"/>
      <c r="E22" s="55"/>
      <c r="F22" s="55"/>
      <c r="G22" s="55"/>
      <c r="H22" s="55"/>
      <c r="I22" s="55"/>
      <c r="J22" s="55"/>
      <c r="L22" s="63" t="s">
        <v>259</v>
      </c>
      <c r="M22" s="55"/>
      <c r="N22" s="55"/>
      <c r="O22" s="55"/>
      <c r="P22" s="55"/>
      <c r="Q22" s="55"/>
      <c r="R22" s="55"/>
      <c r="S22" s="55"/>
      <c r="T22" s="55"/>
    </row>
    <row r="23" spans="1:20" ht="24" customHeight="1" x14ac:dyDescent="0.3">
      <c r="L23" s="1" t="s">
        <v>14</v>
      </c>
      <c r="M23" s="1" t="s">
        <v>260</v>
      </c>
      <c r="N23" s="1" t="s">
        <v>261</v>
      </c>
      <c r="O23" s="1" t="s">
        <v>262</v>
      </c>
      <c r="P23" s="1" t="s">
        <v>263</v>
      </c>
      <c r="Q23" s="1" t="s">
        <v>264</v>
      </c>
    </row>
    <row r="24" spans="1:20" ht="19.95" customHeight="1" x14ac:dyDescent="0.3">
      <c r="L24" s="3">
        <v>22</v>
      </c>
      <c r="M24" s="3">
        <v>16</v>
      </c>
      <c r="N24" s="3">
        <v>54.9</v>
      </c>
      <c r="O24" s="3">
        <v>31.12</v>
      </c>
      <c r="P24" s="3">
        <v>77</v>
      </c>
      <c r="Q24" s="3">
        <v>2</v>
      </c>
    </row>
    <row r="25" spans="1:20" ht="19.95" customHeight="1" x14ac:dyDescent="0.3">
      <c r="L25" s="2">
        <v>233</v>
      </c>
      <c r="M25" s="2">
        <v>15</v>
      </c>
      <c r="N25" s="2">
        <v>52.33</v>
      </c>
      <c r="O25" s="2">
        <v>28.6</v>
      </c>
      <c r="P25" s="2">
        <v>75.33</v>
      </c>
      <c r="Q25" s="2">
        <v>2</v>
      </c>
    </row>
    <row r="26" spans="1:20" ht="19.95" customHeight="1" x14ac:dyDescent="0.3">
      <c r="L26" s="3">
        <v>184</v>
      </c>
      <c r="M26" s="3">
        <v>15</v>
      </c>
      <c r="N26" s="3">
        <v>49.06</v>
      </c>
      <c r="O26" s="3">
        <v>24</v>
      </c>
      <c r="P26" s="3">
        <v>76.17</v>
      </c>
      <c r="Q26" s="3">
        <v>2</v>
      </c>
    </row>
    <row r="27" spans="1:20" ht="19.95" customHeight="1" x14ac:dyDescent="0.3">
      <c r="L27" s="2">
        <v>274</v>
      </c>
      <c r="M27" s="2">
        <v>14</v>
      </c>
      <c r="N27" s="2">
        <v>56.32</v>
      </c>
      <c r="O27" s="2">
        <v>38.18</v>
      </c>
      <c r="P27" s="2">
        <v>76.12</v>
      </c>
      <c r="Q27" s="2">
        <v>2</v>
      </c>
    </row>
    <row r="28" spans="1:20" ht="19.95" customHeight="1" x14ac:dyDescent="0.3">
      <c r="L28" s="3">
        <v>212</v>
      </c>
      <c r="M28" s="3">
        <v>14</v>
      </c>
      <c r="N28" s="3">
        <v>57.9</v>
      </c>
      <c r="O28" s="3">
        <v>26.38</v>
      </c>
      <c r="P28" s="3">
        <v>74</v>
      </c>
      <c r="Q28" s="3">
        <v>2</v>
      </c>
    </row>
    <row r="29" spans="1:20" ht="19.95" customHeight="1" x14ac:dyDescent="0.3">
      <c r="L29" s="2">
        <v>176</v>
      </c>
      <c r="M29" s="2">
        <v>14</v>
      </c>
      <c r="N29" s="2">
        <v>53.35</v>
      </c>
      <c r="O29" s="2">
        <v>33.1</v>
      </c>
      <c r="P29" s="2">
        <v>73.569999999999993</v>
      </c>
      <c r="Q29" s="2">
        <v>2</v>
      </c>
    </row>
    <row r="30" spans="1:20" ht="19.95" customHeight="1" x14ac:dyDescent="0.3">
      <c r="L30" s="3">
        <v>134</v>
      </c>
      <c r="M30" s="3">
        <v>14</v>
      </c>
      <c r="N30" s="3">
        <v>48.86</v>
      </c>
      <c r="O30" s="3">
        <v>31.12</v>
      </c>
      <c r="P30" s="3">
        <v>71</v>
      </c>
      <c r="Q30" s="3">
        <v>2</v>
      </c>
    </row>
    <row r="31" spans="1:20" ht="19.95" customHeight="1" x14ac:dyDescent="0.3">
      <c r="L31" s="2">
        <v>126</v>
      </c>
      <c r="M31" s="2">
        <v>14</v>
      </c>
      <c r="N31" s="2">
        <v>58.45</v>
      </c>
      <c r="O31" s="2">
        <v>35.25</v>
      </c>
      <c r="P31" s="2">
        <v>81.180000000000007</v>
      </c>
      <c r="Q31" s="2">
        <v>2</v>
      </c>
    </row>
    <row r="32" spans="1:20" ht="19.95" customHeight="1" x14ac:dyDescent="0.3">
      <c r="L32" s="3">
        <v>125</v>
      </c>
      <c r="M32" s="3">
        <v>14</v>
      </c>
      <c r="N32" s="3">
        <v>51.67</v>
      </c>
      <c r="O32" s="3">
        <v>28.08</v>
      </c>
      <c r="P32" s="3">
        <v>78.58</v>
      </c>
      <c r="Q32" s="3">
        <v>2</v>
      </c>
    </row>
    <row r="33" spans="1:20" ht="19.95" customHeight="1" x14ac:dyDescent="0.3">
      <c r="L33" s="2">
        <v>118</v>
      </c>
      <c r="M33" s="2">
        <v>14</v>
      </c>
      <c r="N33" s="2">
        <v>52.29</v>
      </c>
      <c r="O33" s="2">
        <v>38.229999999999997</v>
      </c>
      <c r="P33" s="2">
        <v>69</v>
      </c>
      <c r="Q33" s="2">
        <v>2</v>
      </c>
    </row>
    <row r="35" spans="1:20" ht="7.95" customHeight="1" x14ac:dyDescent="0.3"/>
    <row r="36" spans="1:20" ht="25.95" customHeight="1" x14ac:dyDescent="0.3">
      <c r="A36" s="54" t="s">
        <v>265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</row>
    <row r="37" spans="1:20" ht="19.95" customHeight="1" x14ac:dyDescent="0.3">
      <c r="A37" s="60" t="s">
        <v>266</v>
      </c>
      <c r="B37" s="55"/>
      <c r="C37" s="55"/>
      <c r="D37" s="55"/>
      <c r="E37" s="55"/>
      <c r="F37" s="55"/>
      <c r="G37" s="55"/>
      <c r="H37" s="55"/>
      <c r="I37" s="55"/>
      <c r="J37" s="55"/>
    </row>
    <row r="38" spans="1:20" ht="18" customHeight="1" x14ac:dyDescent="0.3">
      <c r="A38" s="59" t="s">
        <v>91</v>
      </c>
      <c r="B38" s="55"/>
      <c r="C38" s="55"/>
      <c r="D38" s="55"/>
      <c r="E38" s="55"/>
      <c r="F38" s="55"/>
      <c r="G38" s="55"/>
      <c r="H38" s="55"/>
      <c r="I38" s="55"/>
      <c r="J38" s="55"/>
    </row>
    <row r="39" spans="1:20" ht="18" customHeight="1" x14ac:dyDescent="0.3">
      <c r="A39" s="62" t="s">
        <v>163</v>
      </c>
      <c r="B39" s="55"/>
      <c r="C39" s="55"/>
      <c r="D39" s="55"/>
      <c r="E39" s="55"/>
      <c r="F39" s="55"/>
      <c r="G39" s="55"/>
      <c r="H39" s="55"/>
      <c r="I39" s="55"/>
      <c r="J39" s="55"/>
    </row>
    <row r="40" spans="1:20" ht="18" customHeight="1" x14ac:dyDescent="0.3">
      <c r="A40" s="61" t="s">
        <v>267</v>
      </c>
      <c r="B40" s="55"/>
      <c r="C40" s="55"/>
      <c r="D40" s="55"/>
      <c r="E40" s="55"/>
      <c r="F40" s="55"/>
      <c r="G40" s="55"/>
      <c r="H40" s="55"/>
      <c r="I40" s="55"/>
      <c r="J40" s="55"/>
    </row>
    <row r="41" spans="1:20" ht="18" customHeight="1" x14ac:dyDescent="0.3">
      <c r="A41" s="61" t="s">
        <v>268</v>
      </c>
      <c r="B41" s="55"/>
      <c r="C41" s="55"/>
      <c r="D41" s="55"/>
      <c r="E41" s="55"/>
      <c r="F41" s="55"/>
      <c r="G41" s="55"/>
      <c r="H41" s="55"/>
      <c r="I41" s="55"/>
      <c r="J41" s="55"/>
    </row>
    <row r="42" spans="1:20" ht="18" customHeight="1" x14ac:dyDescent="0.3">
      <c r="A42" s="62" t="s">
        <v>269</v>
      </c>
      <c r="B42" s="55"/>
      <c r="C42" s="55"/>
      <c r="D42" s="55"/>
      <c r="E42" s="55"/>
      <c r="F42" s="55"/>
      <c r="G42" s="55"/>
      <c r="H42" s="55"/>
      <c r="I42" s="55"/>
      <c r="J42" s="55"/>
    </row>
    <row r="43" spans="1:20" ht="18" customHeight="1" x14ac:dyDescent="0.3">
      <c r="A43" s="61" t="s">
        <v>268</v>
      </c>
      <c r="B43" s="55"/>
      <c r="C43" s="55"/>
      <c r="D43" s="55"/>
      <c r="E43" s="55"/>
      <c r="F43" s="55"/>
      <c r="G43" s="55"/>
      <c r="H43" s="55"/>
      <c r="I43" s="55"/>
      <c r="J43" s="55"/>
    </row>
    <row r="44" spans="1:20" ht="18" customHeight="1" x14ac:dyDescent="0.3">
      <c r="A44" s="62" t="s">
        <v>270</v>
      </c>
      <c r="B44" s="55"/>
      <c r="C44" s="55"/>
      <c r="D44" s="55"/>
      <c r="E44" s="55"/>
      <c r="F44" s="55"/>
      <c r="G44" s="55"/>
      <c r="H44" s="55"/>
      <c r="I44" s="55"/>
      <c r="J44" s="55"/>
    </row>
    <row r="45" spans="1:20" ht="18" customHeight="1" x14ac:dyDescent="0.3">
      <c r="A45" s="61" t="s">
        <v>271</v>
      </c>
      <c r="B45" s="55"/>
      <c r="C45" s="55"/>
      <c r="D45" s="55"/>
      <c r="E45" s="55"/>
      <c r="F45" s="55"/>
      <c r="G45" s="55"/>
      <c r="H45" s="55"/>
      <c r="I45" s="55"/>
      <c r="J45" s="55"/>
    </row>
    <row r="46" spans="1:20" ht="18" customHeight="1" x14ac:dyDescent="0.3">
      <c r="A46" s="61" t="s">
        <v>272</v>
      </c>
      <c r="B46" s="55"/>
      <c r="C46" s="55"/>
      <c r="D46" s="55"/>
      <c r="E46" s="55"/>
      <c r="F46" s="55"/>
      <c r="G46" s="55"/>
      <c r="H46" s="55"/>
      <c r="I46" s="55"/>
      <c r="J46" s="55"/>
    </row>
    <row r="47" spans="1:20" ht="18" customHeight="1" x14ac:dyDescent="0.3">
      <c r="A47" s="62" t="s">
        <v>273</v>
      </c>
      <c r="B47" s="55"/>
      <c r="C47" s="55"/>
      <c r="D47" s="55"/>
      <c r="E47" s="55"/>
      <c r="F47" s="55"/>
      <c r="G47" s="55"/>
      <c r="H47" s="55"/>
      <c r="I47" s="55"/>
      <c r="J47" s="55"/>
    </row>
    <row r="48" spans="1:20" ht="18" customHeight="1" x14ac:dyDescent="0.3">
      <c r="A48" s="61" t="s">
        <v>272</v>
      </c>
      <c r="B48" s="55"/>
      <c r="C48" s="55"/>
      <c r="D48" s="55"/>
      <c r="E48" s="55"/>
      <c r="F48" s="55"/>
      <c r="G48" s="55"/>
      <c r="H48" s="55"/>
      <c r="I48" s="55"/>
      <c r="J48" s="55"/>
    </row>
    <row r="49" spans="1:20" ht="18" customHeight="1" x14ac:dyDescent="0.3">
      <c r="A49" s="62" t="s">
        <v>274</v>
      </c>
      <c r="B49" s="55"/>
      <c r="C49" s="55"/>
      <c r="D49" s="55"/>
      <c r="E49" s="55"/>
      <c r="F49" s="55"/>
      <c r="G49" s="55"/>
      <c r="H49" s="55"/>
      <c r="I49" s="55"/>
      <c r="J49" s="55"/>
    </row>
    <row r="50" spans="1:20" ht="18" customHeight="1" x14ac:dyDescent="0.3">
      <c r="A50" s="59" t="s">
        <v>100</v>
      </c>
      <c r="B50" s="55"/>
      <c r="C50" s="55"/>
      <c r="D50" s="55"/>
      <c r="E50" s="55"/>
      <c r="F50" s="55"/>
      <c r="G50" s="55"/>
      <c r="H50" s="55"/>
      <c r="I50" s="55"/>
      <c r="J50" s="55"/>
    </row>
    <row r="51" spans="1:20" ht="18" customHeight="1" x14ac:dyDescent="0.3">
      <c r="A51" s="59" t="s">
        <v>169</v>
      </c>
      <c r="B51" s="55"/>
      <c r="C51" s="55"/>
      <c r="D51" s="55"/>
      <c r="E51" s="55"/>
      <c r="F51" s="55"/>
      <c r="G51" s="55"/>
      <c r="H51" s="55"/>
      <c r="I51" s="55"/>
      <c r="J51" s="55"/>
    </row>
    <row r="52" spans="1:20" ht="18" customHeight="1" x14ac:dyDescent="0.3">
      <c r="A52" s="59" t="s">
        <v>240</v>
      </c>
      <c r="B52" s="55"/>
      <c r="C52" s="55"/>
      <c r="D52" s="55"/>
      <c r="E52" s="55"/>
      <c r="F52" s="55"/>
      <c r="G52" s="55"/>
      <c r="H52" s="55"/>
      <c r="I52" s="55"/>
      <c r="J52" s="55"/>
    </row>
    <row r="53" spans="1:20" ht="4.05" customHeight="1" x14ac:dyDescent="0.3"/>
    <row r="54" spans="1:20" ht="30" customHeight="1" x14ac:dyDescent="0.3">
      <c r="A54" s="64" t="s">
        <v>275</v>
      </c>
      <c r="B54" s="55"/>
      <c r="C54" s="55"/>
      <c r="D54" s="55"/>
      <c r="E54" s="55"/>
      <c r="F54" s="55"/>
      <c r="G54" s="55"/>
      <c r="H54" s="55"/>
      <c r="I54" s="55"/>
      <c r="J54" s="55"/>
      <c r="L54" s="63" t="s">
        <v>276</v>
      </c>
      <c r="M54" s="55"/>
      <c r="N54" s="55"/>
      <c r="O54" s="55"/>
      <c r="P54" s="55"/>
      <c r="Q54" s="55"/>
      <c r="R54" s="55"/>
      <c r="S54" s="55"/>
      <c r="T54" s="55"/>
    </row>
    <row r="55" spans="1:20" ht="24" customHeight="1" x14ac:dyDescent="0.3">
      <c r="L55" s="1" t="s">
        <v>18</v>
      </c>
      <c r="M55" s="1" t="s">
        <v>277</v>
      </c>
      <c r="N55" s="1" t="s">
        <v>278</v>
      </c>
      <c r="O55" s="1" t="s">
        <v>279</v>
      </c>
      <c r="P55" s="1" t="s">
        <v>280</v>
      </c>
      <c r="Q55" s="1" t="s">
        <v>281</v>
      </c>
      <c r="R55" s="1" t="s">
        <v>282</v>
      </c>
    </row>
    <row r="56" spans="1:20" ht="19.95" customHeight="1" x14ac:dyDescent="0.3">
      <c r="L56" s="3">
        <v>0</v>
      </c>
      <c r="M56" s="3">
        <v>53</v>
      </c>
      <c r="N56" s="3">
        <v>23</v>
      </c>
      <c r="O56" s="3">
        <v>30</v>
      </c>
      <c r="P56" s="3">
        <v>46</v>
      </c>
      <c r="Q56" s="3">
        <v>17</v>
      </c>
      <c r="R56" s="3">
        <v>29</v>
      </c>
    </row>
    <row r="57" spans="1:20" ht="19.95" customHeight="1" x14ac:dyDescent="0.3">
      <c r="L57" s="2">
        <v>1</v>
      </c>
      <c r="M57" s="2">
        <v>42</v>
      </c>
      <c r="N57" s="2">
        <v>13</v>
      </c>
      <c r="O57" s="2">
        <v>29</v>
      </c>
      <c r="P57" s="2">
        <v>43</v>
      </c>
      <c r="Q57" s="2">
        <v>12</v>
      </c>
      <c r="R57" s="2">
        <v>31</v>
      </c>
    </row>
    <row r="58" spans="1:20" ht="19.95" customHeight="1" x14ac:dyDescent="0.3">
      <c r="L58" s="3">
        <v>2</v>
      </c>
      <c r="M58" s="3">
        <v>41</v>
      </c>
      <c r="N58" s="3">
        <v>16</v>
      </c>
      <c r="O58" s="3">
        <v>25</v>
      </c>
      <c r="P58" s="3">
        <v>58</v>
      </c>
      <c r="Q58" s="3">
        <v>21</v>
      </c>
      <c r="R58" s="3">
        <v>37</v>
      </c>
    </row>
    <row r="59" spans="1:20" ht="19.95" customHeight="1" x14ac:dyDescent="0.3">
      <c r="L59" s="2">
        <v>3</v>
      </c>
      <c r="M59" s="2">
        <v>45</v>
      </c>
      <c r="N59" s="2">
        <v>15</v>
      </c>
      <c r="O59" s="2">
        <v>30</v>
      </c>
      <c r="P59" s="2">
        <v>47</v>
      </c>
      <c r="Q59" s="2">
        <v>19</v>
      </c>
      <c r="R59" s="2">
        <v>28</v>
      </c>
    </row>
    <row r="60" spans="1:20" ht="19.95" customHeight="1" x14ac:dyDescent="0.3">
      <c r="L60" s="3">
        <v>4</v>
      </c>
      <c r="M60" s="3">
        <v>72</v>
      </c>
      <c r="N60" s="3">
        <v>36</v>
      </c>
      <c r="O60" s="3">
        <v>36</v>
      </c>
      <c r="P60" s="3">
        <v>131</v>
      </c>
      <c r="Q60" s="3">
        <v>42</v>
      </c>
      <c r="R60" s="3">
        <v>89</v>
      </c>
    </row>
    <row r="61" spans="1:20" ht="19.95" customHeight="1" x14ac:dyDescent="0.3">
      <c r="L61" s="2">
        <v>5</v>
      </c>
      <c r="M61" s="2">
        <v>92</v>
      </c>
      <c r="N61" s="2">
        <v>85</v>
      </c>
      <c r="O61" s="2">
        <v>7</v>
      </c>
      <c r="P61" s="2">
        <v>353</v>
      </c>
      <c r="Q61" s="2">
        <v>100</v>
      </c>
      <c r="R61" s="2">
        <v>253</v>
      </c>
    </row>
    <row r="62" spans="1:20" ht="19.95" customHeight="1" x14ac:dyDescent="0.3">
      <c r="L62" s="3">
        <v>6</v>
      </c>
      <c r="M62" s="3">
        <v>89</v>
      </c>
      <c r="N62" s="3">
        <v>81</v>
      </c>
      <c r="O62" s="3">
        <v>8</v>
      </c>
      <c r="P62" s="3">
        <v>309</v>
      </c>
      <c r="Q62" s="3">
        <v>86</v>
      </c>
      <c r="R62" s="3">
        <v>223</v>
      </c>
    </row>
    <row r="63" spans="1:20" ht="19.95" customHeight="1" x14ac:dyDescent="0.3">
      <c r="L63" s="2">
        <v>7</v>
      </c>
      <c r="M63" s="2">
        <v>83</v>
      </c>
      <c r="N63" s="2">
        <v>75</v>
      </c>
      <c r="O63" s="2">
        <v>8</v>
      </c>
      <c r="P63" s="2">
        <v>323</v>
      </c>
      <c r="Q63" s="2">
        <v>99</v>
      </c>
      <c r="R63" s="2">
        <v>224</v>
      </c>
    </row>
    <row r="64" spans="1:20" ht="19.95" customHeight="1" x14ac:dyDescent="0.3">
      <c r="L64" s="3">
        <v>8</v>
      </c>
      <c r="M64" s="3">
        <v>73</v>
      </c>
      <c r="N64" s="3">
        <v>67</v>
      </c>
      <c r="O64" s="3">
        <v>6</v>
      </c>
      <c r="P64" s="3">
        <v>350</v>
      </c>
      <c r="Q64" s="3">
        <v>88</v>
      </c>
      <c r="R64" s="3">
        <v>262</v>
      </c>
    </row>
    <row r="65" spans="12:18" ht="19.95" customHeight="1" x14ac:dyDescent="0.3">
      <c r="L65" s="2">
        <v>9</v>
      </c>
      <c r="M65" s="2">
        <v>89</v>
      </c>
      <c r="N65" s="2">
        <v>74</v>
      </c>
      <c r="O65" s="2">
        <v>15</v>
      </c>
      <c r="P65" s="2">
        <v>342</v>
      </c>
      <c r="Q65" s="2">
        <v>99</v>
      </c>
      <c r="R65" s="2">
        <v>243</v>
      </c>
    </row>
    <row r="66" spans="12:18" ht="19.95" customHeight="1" x14ac:dyDescent="0.3">
      <c r="L66" s="3">
        <v>10</v>
      </c>
      <c r="M66" s="3">
        <v>75</v>
      </c>
      <c r="N66" s="3">
        <v>53</v>
      </c>
      <c r="O66" s="3">
        <v>22</v>
      </c>
      <c r="P66" s="3">
        <v>168</v>
      </c>
      <c r="Q66" s="3">
        <v>63</v>
      </c>
      <c r="R66" s="3">
        <v>105</v>
      </c>
    </row>
    <row r="67" spans="12:18" ht="19.95" customHeight="1" x14ac:dyDescent="0.3">
      <c r="L67" s="2">
        <v>11</v>
      </c>
      <c r="M67" s="2">
        <v>64</v>
      </c>
      <c r="N67" s="2">
        <v>49</v>
      </c>
      <c r="O67" s="2">
        <v>15</v>
      </c>
      <c r="P67" s="2">
        <v>107</v>
      </c>
      <c r="Q67" s="2">
        <v>66</v>
      </c>
      <c r="R67" s="2">
        <v>41</v>
      </c>
    </row>
    <row r="68" spans="12:18" ht="19.95" customHeight="1" x14ac:dyDescent="0.3">
      <c r="L68" s="3">
        <v>12</v>
      </c>
      <c r="M68" s="3">
        <v>87</v>
      </c>
      <c r="N68" s="3">
        <v>63</v>
      </c>
      <c r="O68" s="3">
        <v>24</v>
      </c>
      <c r="P68" s="3">
        <v>97</v>
      </c>
      <c r="Q68" s="3">
        <v>58</v>
      </c>
      <c r="R68" s="3">
        <v>39</v>
      </c>
    </row>
    <row r="69" spans="12:18" ht="19.95" customHeight="1" x14ac:dyDescent="0.3">
      <c r="L69" s="2">
        <v>13</v>
      </c>
      <c r="M69" s="2">
        <v>65</v>
      </c>
      <c r="N69" s="2">
        <v>35</v>
      </c>
      <c r="O69" s="2">
        <v>30</v>
      </c>
      <c r="P69" s="2">
        <v>95</v>
      </c>
      <c r="Q69" s="2">
        <v>54</v>
      </c>
      <c r="R69" s="2">
        <v>41</v>
      </c>
    </row>
    <row r="70" spans="12:18" ht="19.95" customHeight="1" x14ac:dyDescent="0.3">
      <c r="L70" s="3">
        <v>14</v>
      </c>
      <c r="M70" s="3">
        <v>50</v>
      </c>
      <c r="N70" s="3">
        <v>37</v>
      </c>
      <c r="O70" s="3">
        <v>13</v>
      </c>
      <c r="P70" s="3">
        <v>86</v>
      </c>
      <c r="Q70" s="3">
        <v>51</v>
      </c>
      <c r="R70" s="3">
        <v>35</v>
      </c>
    </row>
    <row r="71" spans="12:18" ht="19.95" customHeight="1" x14ac:dyDescent="0.3">
      <c r="L71" s="2">
        <v>15</v>
      </c>
      <c r="M71" s="2">
        <v>76</v>
      </c>
      <c r="N71" s="2">
        <v>52</v>
      </c>
      <c r="O71" s="2">
        <v>24</v>
      </c>
      <c r="P71" s="2">
        <v>95</v>
      </c>
      <c r="Q71" s="2">
        <v>50</v>
      </c>
      <c r="R71" s="2">
        <v>45</v>
      </c>
    </row>
    <row r="72" spans="12:18" ht="19.95" customHeight="1" x14ac:dyDescent="0.3">
      <c r="L72" s="3">
        <v>16</v>
      </c>
      <c r="M72" s="3">
        <v>61</v>
      </c>
      <c r="N72" s="3">
        <v>38</v>
      </c>
      <c r="O72" s="3">
        <v>23</v>
      </c>
      <c r="P72" s="3">
        <v>98</v>
      </c>
      <c r="Q72" s="3">
        <v>53</v>
      </c>
      <c r="R72" s="3">
        <v>45</v>
      </c>
    </row>
    <row r="73" spans="12:18" ht="19.95" customHeight="1" x14ac:dyDescent="0.3">
      <c r="L73" s="2">
        <v>17</v>
      </c>
      <c r="M73" s="2">
        <v>308</v>
      </c>
      <c r="N73" s="2">
        <v>74</v>
      </c>
      <c r="O73" s="2">
        <v>234</v>
      </c>
      <c r="P73" s="2">
        <v>110</v>
      </c>
      <c r="Q73" s="2">
        <v>77</v>
      </c>
      <c r="R73" s="2">
        <v>33</v>
      </c>
    </row>
    <row r="74" spans="12:18" ht="19.95" customHeight="1" x14ac:dyDescent="0.3">
      <c r="L74" s="3">
        <v>18</v>
      </c>
      <c r="M74" s="3">
        <v>405</v>
      </c>
      <c r="N74" s="3">
        <v>81</v>
      </c>
      <c r="O74" s="3">
        <v>324</v>
      </c>
      <c r="P74" s="3">
        <v>105</v>
      </c>
      <c r="Q74" s="3">
        <v>83</v>
      </c>
      <c r="R74" s="3">
        <v>22</v>
      </c>
    </row>
    <row r="75" spans="12:18" ht="19.95" customHeight="1" x14ac:dyDescent="0.3">
      <c r="L75" s="2">
        <v>19</v>
      </c>
      <c r="M75" s="2">
        <v>366</v>
      </c>
      <c r="N75" s="2">
        <v>83</v>
      </c>
      <c r="O75" s="2">
        <v>283</v>
      </c>
      <c r="P75" s="2">
        <v>107</v>
      </c>
      <c r="Q75" s="2">
        <v>83</v>
      </c>
      <c r="R75" s="2">
        <v>24</v>
      </c>
    </row>
    <row r="76" spans="12:18" ht="19.95" customHeight="1" x14ac:dyDescent="0.3">
      <c r="L76" s="3">
        <v>20</v>
      </c>
      <c r="M76" s="3">
        <v>378</v>
      </c>
      <c r="N76" s="3">
        <v>74</v>
      </c>
      <c r="O76" s="3">
        <v>304</v>
      </c>
      <c r="P76" s="3">
        <v>114</v>
      </c>
      <c r="Q76" s="3">
        <v>87</v>
      </c>
      <c r="R76" s="3">
        <v>27</v>
      </c>
    </row>
    <row r="77" spans="12:18" ht="19.95" customHeight="1" x14ac:dyDescent="0.3">
      <c r="L77" s="2">
        <v>21</v>
      </c>
      <c r="M77" s="2">
        <v>343</v>
      </c>
      <c r="N77" s="2">
        <v>61</v>
      </c>
      <c r="O77" s="2">
        <v>282</v>
      </c>
      <c r="P77" s="2">
        <v>106</v>
      </c>
      <c r="Q77" s="2">
        <v>81</v>
      </c>
      <c r="R77" s="2">
        <v>25</v>
      </c>
    </row>
    <row r="78" spans="12:18" ht="19.95" customHeight="1" x14ac:dyDescent="0.3">
      <c r="L78" s="3">
        <v>22</v>
      </c>
      <c r="M78" s="3">
        <v>183</v>
      </c>
      <c r="N78" s="3">
        <v>80</v>
      </c>
      <c r="O78" s="3">
        <v>103</v>
      </c>
      <c r="P78" s="3">
        <v>121</v>
      </c>
      <c r="Q78" s="3">
        <v>74</v>
      </c>
      <c r="R78" s="3">
        <v>47</v>
      </c>
    </row>
    <row r="79" spans="12:18" ht="19.95" customHeight="1" x14ac:dyDescent="0.3">
      <c r="L79" s="2">
        <v>23</v>
      </c>
      <c r="M79" s="2">
        <v>98</v>
      </c>
      <c r="N79" s="2">
        <v>62</v>
      </c>
      <c r="O79" s="2">
        <v>36</v>
      </c>
      <c r="P79" s="2">
        <v>96</v>
      </c>
      <c r="Q79" s="2">
        <v>41</v>
      </c>
      <c r="R79" s="2">
        <v>55</v>
      </c>
    </row>
    <row r="81" spans="1:20" ht="7.95" customHeight="1" x14ac:dyDescent="0.3"/>
    <row r="82" spans="1:20" ht="25.95" customHeight="1" x14ac:dyDescent="0.3">
      <c r="A82" s="54" t="s">
        <v>283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</row>
    <row r="83" spans="1:20" ht="19.95" customHeight="1" x14ac:dyDescent="0.3">
      <c r="A83" s="60" t="s">
        <v>284</v>
      </c>
      <c r="B83" s="55"/>
      <c r="C83" s="55"/>
      <c r="D83" s="55"/>
      <c r="E83" s="55"/>
      <c r="F83" s="55"/>
      <c r="G83" s="55"/>
      <c r="H83" s="55"/>
      <c r="I83" s="55"/>
      <c r="J83" s="55"/>
    </row>
    <row r="84" spans="1:20" ht="18" customHeight="1" x14ac:dyDescent="0.3">
      <c r="A84" s="59" t="s">
        <v>91</v>
      </c>
      <c r="B84" s="55"/>
      <c r="C84" s="55"/>
      <c r="D84" s="55"/>
      <c r="E84" s="55"/>
      <c r="F84" s="55"/>
      <c r="G84" s="55"/>
      <c r="H84" s="55"/>
      <c r="I84" s="55"/>
      <c r="J84" s="55"/>
    </row>
    <row r="85" spans="1:20" ht="18" customHeight="1" x14ac:dyDescent="0.3">
      <c r="A85" s="62" t="s">
        <v>163</v>
      </c>
      <c r="B85" s="55"/>
      <c r="C85" s="55"/>
      <c r="D85" s="55"/>
      <c r="E85" s="55"/>
      <c r="F85" s="55"/>
      <c r="G85" s="55"/>
      <c r="H85" s="55"/>
      <c r="I85" s="55"/>
      <c r="J85" s="55"/>
    </row>
    <row r="86" spans="1:20" ht="18" customHeight="1" x14ac:dyDescent="0.3">
      <c r="A86" s="62" t="s">
        <v>116</v>
      </c>
      <c r="B86" s="55"/>
      <c r="C86" s="55"/>
      <c r="D86" s="55"/>
      <c r="E86" s="55"/>
      <c r="F86" s="55"/>
      <c r="G86" s="55"/>
      <c r="H86" s="55"/>
      <c r="I86" s="55"/>
      <c r="J86" s="55"/>
    </row>
    <row r="87" spans="1:20" ht="18" customHeight="1" x14ac:dyDescent="0.3">
      <c r="A87" s="61" t="s">
        <v>285</v>
      </c>
      <c r="B87" s="55"/>
      <c r="C87" s="55"/>
      <c r="D87" s="55"/>
      <c r="E87" s="55"/>
      <c r="F87" s="55"/>
      <c r="G87" s="55"/>
      <c r="H87" s="55"/>
      <c r="I87" s="55"/>
      <c r="J87" s="55"/>
    </row>
    <row r="88" spans="1:20" ht="18" customHeight="1" x14ac:dyDescent="0.3">
      <c r="A88" s="61" t="s">
        <v>286</v>
      </c>
      <c r="B88" s="55"/>
      <c r="C88" s="55"/>
      <c r="D88" s="55"/>
      <c r="E88" s="55"/>
      <c r="F88" s="55"/>
      <c r="G88" s="55"/>
      <c r="H88" s="55"/>
      <c r="I88" s="55"/>
      <c r="J88" s="55"/>
    </row>
    <row r="89" spans="1:20" ht="18" customHeight="1" x14ac:dyDescent="0.3">
      <c r="A89" s="62" t="s">
        <v>287</v>
      </c>
      <c r="B89" s="55"/>
      <c r="C89" s="55"/>
      <c r="D89" s="55"/>
      <c r="E89" s="55"/>
      <c r="F89" s="55"/>
      <c r="G89" s="55"/>
      <c r="H89" s="55"/>
      <c r="I89" s="55"/>
      <c r="J89" s="55"/>
    </row>
    <row r="90" spans="1:20" ht="18" customHeight="1" x14ac:dyDescent="0.3">
      <c r="A90" s="62" t="s">
        <v>288</v>
      </c>
      <c r="B90" s="55"/>
      <c r="C90" s="55"/>
      <c r="D90" s="55"/>
      <c r="E90" s="55"/>
      <c r="F90" s="55"/>
      <c r="G90" s="55"/>
      <c r="H90" s="55"/>
      <c r="I90" s="55"/>
      <c r="J90" s="55"/>
    </row>
    <row r="91" spans="1:20" ht="18" customHeight="1" x14ac:dyDescent="0.3">
      <c r="A91" s="61" t="s">
        <v>289</v>
      </c>
      <c r="B91" s="55"/>
      <c r="C91" s="55"/>
      <c r="D91" s="55"/>
      <c r="E91" s="55"/>
      <c r="F91" s="55"/>
      <c r="G91" s="55"/>
      <c r="H91" s="55"/>
      <c r="I91" s="55"/>
      <c r="J91" s="55"/>
    </row>
    <row r="92" spans="1:20" ht="18" customHeight="1" x14ac:dyDescent="0.3">
      <c r="A92" s="62" t="s">
        <v>287</v>
      </c>
      <c r="B92" s="55"/>
      <c r="C92" s="55"/>
      <c r="D92" s="55"/>
      <c r="E92" s="55"/>
      <c r="F92" s="55"/>
      <c r="G92" s="55"/>
      <c r="H92" s="55"/>
      <c r="I92" s="55"/>
      <c r="J92" s="55"/>
    </row>
    <row r="93" spans="1:20" ht="18" customHeight="1" x14ac:dyDescent="0.3">
      <c r="A93" s="62" t="s">
        <v>290</v>
      </c>
      <c r="B93" s="55"/>
      <c r="C93" s="55"/>
      <c r="D93" s="55"/>
      <c r="E93" s="55"/>
      <c r="F93" s="55"/>
      <c r="G93" s="55"/>
      <c r="H93" s="55"/>
      <c r="I93" s="55"/>
      <c r="J93" s="55"/>
    </row>
    <row r="94" spans="1:20" ht="18" customHeight="1" x14ac:dyDescent="0.3">
      <c r="A94" s="62" t="s">
        <v>291</v>
      </c>
      <c r="B94" s="55"/>
      <c r="C94" s="55"/>
      <c r="D94" s="55"/>
      <c r="E94" s="55"/>
      <c r="F94" s="55"/>
      <c r="G94" s="55"/>
      <c r="H94" s="55"/>
      <c r="I94" s="55"/>
      <c r="J94" s="55"/>
    </row>
    <row r="95" spans="1:20" ht="18" customHeight="1" x14ac:dyDescent="0.3">
      <c r="A95" s="59" t="s">
        <v>100</v>
      </c>
      <c r="B95" s="55"/>
      <c r="C95" s="55"/>
      <c r="D95" s="55"/>
      <c r="E95" s="55"/>
      <c r="F95" s="55"/>
      <c r="G95" s="55"/>
      <c r="H95" s="55"/>
      <c r="I95" s="55"/>
      <c r="J95" s="55"/>
    </row>
    <row r="96" spans="1:20" ht="18" customHeight="1" x14ac:dyDescent="0.3">
      <c r="A96" s="59" t="s">
        <v>292</v>
      </c>
      <c r="B96" s="55"/>
      <c r="C96" s="55"/>
      <c r="D96" s="55"/>
      <c r="E96" s="55"/>
      <c r="F96" s="55"/>
      <c r="G96" s="55"/>
      <c r="H96" s="55"/>
      <c r="I96" s="55"/>
      <c r="J96" s="55"/>
    </row>
    <row r="97" spans="1:20" ht="18" customHeight="1" x14ac:dyDescent="0.3">
      <c r="A97" s="59" t="s">
        <v>240</v>
      </c>
      <c r="B97" s="55"/>
      <c r="C97" s="55"/>
      <c r="D97" s="55"/>
      <c r="E97" s="55"/>
      <c r="F97" s="55"/>
      <c r="G97" s="55"/>
      <c r="H97" s="55"/>
      <c r="I97" s="55"/>
      <c r="J97" s="55"/>
    </row>
    <row r="98" spans="1:20" ht="4.05" customHeight="1" x14ac:dyDescent="0.3"/>
    <row r="99" spans="1:20" ht="30" customHeight="1" x14ac:dyDescent="0.3">
      <c r="A99" s="64" t="s">
        <v>293</v>
      </c>
      <c r="B99" s="55"/>
      <c r="C99" s="55"/>
      <c r="D99" s="55"/>
      <c r="E99" s="55"/>
      <c r="F99" s="55"/>
      <c r="G99" s="55"/>
      <c r="H99" s="55"/>
      <c r="I99" s="55"/>
      <c r="J99" s="55"/>
      <c r="L99" s="63" t="s">
        <v>294</v>
      </c>
      <c r="M99" s="55"/>
      <c r="N99" s="55"/>
      <c r="O99" s="55"/>
      <c r="P99" s="55"/>
      <c r="Q99" s="55"/>
      <c r="R99" s="55"/>
      <c r="S99" s="55"/>
      <c r="T99" s="55"/>
    </row>
    <row r="100" spans="1:20" ht="24" customHeight="1" x14ac:dyDescent="0.3">
      <c r="L100" s="1" t="s">
        <v>18</v>
      </c>
      <c r="M100" s="1" t="s">
        <v>24</v>
      </c>
      <c r="N100" s="1" t="s">
        <v>295</v>
      </c>
      <c r="O100" s="1" t="s">
        <v>296</v>
      </c>
      <c r="P100" s="1" t="s">
        <v>297</v>
      </c>
    </row>
    <row r="101" spans="1:20" ht="19.95" customHeight="1" x14ac:dyDescent="0.3">
      <c r="L101" s="2">
        <v>0</v>
      </c>
      <c r="M101" s="2" t="s">
        <v>134</v>
      </c>
      <c r="N101" s="2">
        <v>59</v>
      </c>
      <c r="O101" s="2">
        <v>59</v>
      </c>
      <c r="P101" s="2">
        <v>1.5</v>
      </c>
    </row>
    <row r="102" spans="1:20" ht="19.95" customHeight="1" x14ac:dyDescent="0.3">
      <c r="L102" s="3">
        <v>1</v>
      </c>
      <c r="M102" s="3" t="s">
        <v>134</v>
      </c>
      <c r="N102" s="3">
        <v>60</v>
      </c>
      <c r="O102" s="3">
        <v>119</v>
      </c>
      <c r="P102" s="3">
        <v>3</v>
      </c>
    </row>
    <row r="103" spans="1:20" ht="19.95" customHeight="1" x14ac:dyDescent="0.3">
      <c r="L103" s="2">
        <v>2</v>
      </c>
      <c r="M103" s="2" t="s">
        <v>134</v>
      </c>
      <c r="N103" s="2">
        <v>62</v>
      </c>
      <c r="O103" s="2">
        <v>181</v>
      </c>
      <c r="P103" s="2">
        <v>4.5999999999999996</v>
      </c>
    </row>
    <row r="104" spans="1:20" ht="19.95" customHeight="1" x14ac:dyDescent="0.3">
      <c r="L104" s="3">
        <v>3</v>
      </c>
      <c r="M104" s="3" t="s">
        <v>134</v>
      </c>
      <c r="N104" s="3">
        <v>58</v>
      </c>
      <c r="O104" s="3">
        <v>239</v>
      </c>
      <c r="P104" s="3">
        <v>6.1</v>
      </c>
    </row>
    <row r="105" spans="1:20" ht="19.95" customHeight="1" x14ac:dyDescent="0.3">
      <c r="L105" s="2">
        <v>4</v>
      </c>
      <c r="M105" s="2" t="s">
        <v>134</v>
      </c>
      <c r="N105" s="2">
        <v>125</v>
      </c>
      <c r="O105" s="2">
        <v>364</v>
      </c>
      <c r="P105" s="2">
        <v>9.3000000000000007</v>
      </c>
    </row>
    <row r="106" spans="1:20" ht="19.95" customHeight="1" x14ac:dyDescent="0.3">
      <c r="L106" s="3">
        <v>5</v>
      </c>
      <c r="M106" s="3" t="s">
        <v>130</v>
      </c>
      <c r="N106" s="3">
        <v>260</v>
      </c>
      <c r="O106" s="3">
        <v>624</v>
      </c>
      <c r="P106" s="3">
        <v>15.9</v>
      </c>
    </row>
    <row r="107" spans="1:20" ht="19.95" customHeight="1" x14ac:dyDescent="0.3">
      <c r="L107" s="2">
        <v>6</v>
      </c>
      <c r="M107" s="2" t="s">
        <v>130</v>
      </c>
      <c r="N107" s="2">
        <v>231</v>
      </c>
      <c r="O107" s="2">
        <v>855</v>
      </c>
      <c r="P107" s="2">
        <v>21.8</v>
      </c>
    </row>
    <row r="108" spans="1:20" ht="19.95" customHeight="1" x14ac:dyDescent="0.3">
      <c r="L108" s="3">
        <v>7</v>
      </c>
      <c r="M108" s="3" t="s">
        <v>130</v>
      </c>
      <c r="N108" s="3">
        <v>232</v>
      </c>
      <c r="O108" s="3">
        <v>1087</v>
      </c>
      <c r="P108" s="3">
        <v>27.8</v>
      </c>
    </row>
    <row r="109" spans="1:20" ht="19.95" customHeight="1" x14ac:dyDescent="0.3">
      <c r="L109" s="2">
        <v>8</v>
      </c>
      <c r="M109" s="2" t="s">
        <v>130</v>
      </c>
      <c r="N109" s="2">
        <v>268</v>
      </c>
      <c r="O109" s="2">
        <v>1355</v>
      </c>
      <c r="P109" s="2">
        <v>34.6</v>
      </c>
    </row>
    <row r="110" spans="1:20" ht="19.95" customHeight="1" x14ac:dyDescent="0.3">
      <c r="L110" s="3">
        <v>9</v>
      </c>
      <c r="M110" s="3" t="s">
        <v>130</v>
      </c>
      <c r="N110" s="3">
        <v>258</v>
      </c>
      <c r="O110" s="3">
        <v>1613</v>
      </c>
      <c r="P110" s="3">
        <v>41.2</v>
      </c>
    </row>
    <row r="111" spans="1:20" ht="19.95" customHeight="1" x14ac:dyDescent="0.3">
      <c r="L111" s="2">
        <v>10</v>
      </c>
      <c r="M111" s="2" t="s">
        <v>135</v>
      </c>
      <c r="N111" s="2">
        <v>127</v>
      </c>
      <c r="O111" s="2">
        <v>1740</v>
      </c>
      <c r="P111" s="2">
        <v>44.5</v>
      </c>
    </row>
    <row r="112" spans="1:20" ht="19.95" customHeight="1" x14ac:dyDescent="0.3">
      <c r="L112" s="3">
        <v>11</v>
      </c>
      <c r="M112" s="3" t="s">
        <v>135</v>
      </c>
      <c r="N112" s="3">
        <v>56</v>
      </c>
      <c r="O112" s="3">
        <v>1796</v>
      </c>
      <c r="P112" s="3">
        <v>45.9</v>
      </c>
    </row>
    <row r="113" spans="1:20" ht="19.95" customHeight="1" x14ac:dyDescent="0.3">
      <c r="L113" s="2">
        <v>12</v>
      </c>
      <c r="M113" s="2" t="s">
        <v>135</v>
      </c>
      <c r="N113" s="2">
        <v>63</v>
      </c>
      <c r="O113" s="2">
        <v>1859</v>
      </c>
      <c r="P113" s="2">
        <v>47.5</v>
      </c>
    </row>
    <row r="114" spans="1:20" ht="19.95" customHeight="1" x14ac:dyDescent="0.3">
      <c r="L114" s="3">
        <v>13</v>
      </c>
      <c r="M114" s="3" t="s">
        <v>135</v>
      </c>
      <c r="N114" s="3">
        <v>71</v>
      </c>
      <c r="O114" s="3">
        <v>1930</v>
      </c>
      <c r="P114" s="3">
        <v>49.3</v>
      </c>
    </row>
    <row r="115" spans="1:20" ht="19.95" customHeight="1" x14ac:dyDescent="0.3">
      <c r="L115" s="2">
        <v>14</v>
      </c>
      <c r="M115" s="2" t="s">
        <v>133</v>
      </c>
      <c r="N115" s="2">
        <v>48</v>
      </c>
      <c r="O115" s="2">
        <v>1978</v>
      </c>
      <c r="P115" s="2">
        <v>50.5</v>
      </c>
    </row>
    <row r="116" spans="1:20" ht="19.95" customHeight="1" x14ac:dyDescent="0.3">
      <c r="L116" s="3">
        <v>15</v>
      </c>
      <c r="M116" s="3" t="s">
        <v>133</v>
      </c>
      <c r="N116" s="3">
        <v>69</v>
      </c>
      <c r="O116" s="3">
        <v>2047</v>
      </c>
      <c r="P116" s="3">
        <v>52.3</v>
      </c>
    </row>
    <row r="117" spans="1:20" ht="19.95" customHeight="1" x14ac:dyDescent="0.3">
      <c r="L117" s="2">
        <v>16</v>
      </c>
      <c r="M117" s="2" t="s">
        <v>133</v>
      </c>
      <c r="N117" s="2">
        <v>68</v>
      </c>
      <c r="O117" s="2">
        <v>2115</v>
      </c>
      <c r="P117" s="2">
        <v>54</v>
      </c>
    </row>
    <row r="118" spans="1:20" ht="19.95" customHeight="1" x14ac:dyDescent="0.3">
      <c r="L118" s="3">
        <v>17</v>
      </c>
      <c r="M118" s="3" t="s">
        <v>133</v>
      </c>
      <c r="N118" s="3">
        <v>267</v>
      </c>
      <c r="O118" s="3">
        <v>2382</v>
      </c>
      <c r="P118" s="3">
        <v>60.9</v>
      </c>
    </row>
    <row r="119" spans="1:20" ht="19.95" customHeight="1" x14ac:dyDescent="0.3">
      <c r="L119" s="2">
        <v>18</v>
      </c>
      <c r="M119" s="2" t="s">
        <v>131</v>
      </c>
      <c r="N119" s="2">
        <v>346</v>
      </c>
      <c r="O119" s="2">
        <v>2728</v>
      </c>
      <c r="P119" s="2">
        <v>69.7</v>
      </c>
    </row>
    <row r="120" spans="1:20" ht="19.95" customHeight="1" x14ac:dyDescent="0.3">
      <c r="L120" s="3">
        <v>19</v>
      </c>
      <c r="M120" s="3" t="s">
        <v>131</v>
      </c>
      <c r="N120" s="3">
        <v>307</v>
      </c>
      <c r="O120" s="3">
        <v>3035</v>
      </c>
      <c r="P120" s="3">
        <v>77.5</v>
      </c>
    </row>
    <row r="121" spans="1:20" ht="19.95" customHeight="1" x14ac:dyDescent="0.3">
      <c r="L121" s="2">
        <v>20</v>
      </c>
      <c r="M121" s="2" t="s">
        <v>131</v>
      </c>
      <c r="N121" s="2">
        <v>331</v>
      </c>
      <c r="O121" s="2">
        <v>3366</v>
      </c>
      <c r="P121" s="2">
        <v>86</v>
      </c>
    </row>
    <row r="122" spans="1:20" ht="19.95" customHeight="1" x14ac:dyDescent="0.3">
      <c r="L122" s="3">
        <v>21</v>
      </c>
      <c r="M122" s="3" t="s">
        <v>132</v>
      </c>
      <c r="N122" s="3">
        <v>307</v>
      </c>
      <c r="O122" s="3">
        <v>3673</v>
      </c>
      <c r="P122" s="3">
        <v>93.8</v>
      </c>
    </row>
    <row r="123" spans="1:20" ht="19.95" customHeight="1" x14ac:dyDescent="0.3">
      <c r="L123" s="2">
        <v>22</v>
      </c>
      <c r="M123" s="2" t="s">
        <v>132</v>
      </c>
      <c r="N123" s="2">
        <v>150</v>
      </c>
      <c r="O123" s="2">
        <v>3823</v>
      </c>
      <c r="P123" s="2">
        <v>97.7</v>
      </c>
    </row>
    <row r="124" spans="1:20" ht="19.95" customHeight="1" x14ac:dyDescent="0.3">
      <c r="L124" s="3">
        <v>23</v>
      </c>
      <c r="M124" s="3" t="s">
        <v>132</v>
      </c>
      <c r="N124" s="3">
        <v>91</v>
      </c>
      <c r="O124" s="3">
        <v>3914</v>
      </c>
      <c r="P124" s="3">
        <v>100</v>
      </c>
    </row>
    <row r="126" spans="1:20" ht="7.95" customHeight="1" x14ac:dyDescent="0.3"/>
    <row r="127" spans="1:20" ht="25.95" customHeight="1" x14ac:dyDescent="0.3">
      <c r="A127" s="54" t="s">
        <v>298</v>
      </c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</row>
    <row r="128" spans="1:20" ht="19.95" customHeight="1" x14ac:dyDescent="0.3">
      <c r="A128" s="60" t="s">
        <v>299</v>
      </c>
      <c r="B128" s="55"/>
      <c r="C128" s="55"/>
      <c r="D128" s="55"/>
      <c r="E128" s="55"/>
      <c r="F128" s="55"/>
      <c r="G128" s="55"/>
      <c r="H128" s="55"/>
      <c r="I128" s="55"/>
      <c r="J128" s="55"/>
    </row>
    <row r="129" spans="1:20" ht="18" customHeight="1" x14ac:dyDescent="0.3">
      <c r="A129" s="59" t="s">
        <v>91</v>
      </c>
      <c r="B129" s="55"/>
      <c r="C129" s="55"/>
      <c r="D129" s="55"/>
      <c r="E129" s="55"/>
      <c r="F129" s="55"/>
      <c r="G129" s="55"/>
      <c r="H129" s="55"/>
      <c r="I129" s="55"/>
      <c r="J129" s="55"/>
    </row>
    <row r="130" spans="1:20" ht="18" customHeight="1" x14ac:dyDescent="0.3">
      <c r="A130" s="61" t="s">
        <v>196</v>
      </c>
      <c r="B130" s="55"/>
      <c r="C130" s="55"/>
      <c r="D130" s="55"/>
      <c r="E130" s="55"/>
      <c r="F130" s="55"/>
      <c r="G130" s="55"/>
      <c r="H130" s="55"/>
      <c r="I130" s="55"/>
      <c r="J130" s="55"/>
    </row>
    <row r="131" spans="1:20" ht="18" customHeight="1" x14ac:dyDescent="0.3">
      <c r="A131" s="61" t="s">
        <v>300</v>
      </c>
      <c r="B131" s="55"/>
      <c r="C131" s="55"/>
      <c r="D131" s="55"/>
      <c r="E131" s="55"/>
      <c r="F131" s="55"/>
      <c r="G131" s="55"/>
      <c r="H131" s="55"/>
      <c r="I131" s="55"/>
      <c r="J131" s="55"/>
    </row>
    <row r="132" spans="1:20" ht="18" customHeight="1" x14ac:dyDescent="0.3">
      <c r="A132" s="61" t="s">
        <v>301</v>
      </c>
      <c r="B132" s="55"/>
      <c r="C132" s="55"/>
      <c r="D132" s="55"/>
      <c r="E132" s="55"/>
      <c r="F132" s="55"/>
      <c r="G132" s="55"/>
      <c r="H132" s="55"/>
      <c r="I132" s="55"/>
      <c r="J132" s="55"/>
    </row>
    <row r="133" spans="1:20" ht="18" customHeight="1" x14ac:dyDescent="0.3">
      <c r="A133" s="61" t="s">
        <v>302</v>
      </c>
      <c r="B133" s="55"/>
      <c r="C133" s="55"/>
      <c r="D133" s="55"/>
      <c r="E133" s="55"/>
      <c r="F133" s="55"/>
      <c r="G133" s="55"/>
      <c r="H133" s="55"/>
      <c r="I133" s="55"/>
      <c r="J133" s="55"/>
    </row>
    <row r="134" spans="1:20" ht="18" customHeight="1" x14ac:dyDescent="0.3">
      <c r="A134" s="61" t="s">
        <v>200</v>
      </c>
      <c r="B134" s="55"/>
      <c r="C134" s="55"/>
      <c r="D134" s="55"/>
      <c r="E134" s="55"/>
      <c r="F134" s="55"/>
      <c r="G134" s="55"/>
      <c r="H134" s="55"/>
      <c r="I134" s="55"/>
      <c r="J134" s="55"/>
    </row>
    <row r="135" spans="1:20" ht="18" customHeight="1" x14ac:dyDescent="0.3">
      <c r="A135" s="61" t="s">
        <v>147</v>
      </c>
      <c r="B135" s="55"/>
      <c r="C135" s="55"/>
      <c r="D135" s="55"/>
      <c r="E135" s="55"/>
      <c r="F135" s="55"/>
      <c r="G135" s="55"/>
      <c r="H135" s="55"/>
      <c r="I135" s="55"/>
      <c r="J135" s="55"/>
    </row>
    <row r="136" spans="1:20" ht="18" customHeight="1" x14ac:dyDescent="0.3">
      <c r="A136" s="62" t="s">
        <v>303</v>
      </c>
      <c r="B136" s="55"/>
      <c r="C136" s="55"/>
      <c r="D136" s="55"/>
      <c r="E136" s="55"/>
      <c r="F136" s="55"/>
      <c r="G136" s="55"/>
      <c r="H136" s="55"/>
      <c r="I136" s="55"/>
      <c r="J136" s="55"/>
    </row>
    <row r="137" spans="1:20" ht="18" customHeight="1" x14ac:dyDescent="0.3">
      <c r="A137" s="61" t="s">
        <v>304</v>
      </c>
      <c r="B137" s="55"/>
      <c r="C137" s="55"/>
      <c r="D137" s="55"/>
      <c r="E137" s="55"/>
      <c r="F137" s="55"/>
      <c r="G137" s="55"/>
      <c r="H137" s="55"/>
      <c r="I137" s="55"/>
      <c r="J137" s="55"/>
    </row>
    <row r="138" spans="1:20" ht="18" customHeight="1" x14ac:dyDescent="0.3">
      <c r="A138" s="61" t="s">
        <v>305</v>
      </c>
      <c r="B138" s="55"/>
      <c r="C138" s="55"/>
      <c r="D138" s="55"/>
      <c r="E138" s="55"/>
      <c r="F138" s="55"/>
      <c r="G138" s="55"/>
      <c r="H138" s="55"/>
      <c r="I138" s="55"/>
      <c r="J138" s="55"/>
    </row>
    <row r="139" spans="1:20" ht="18" customHeight="1" x14ac:dyDescent="0.3">
      <c r="A139" s="61" t="s">
        <v>306</v>
      </c>
      <c r="B139" s="55"/>
      <c r="C139" s="55"/>
      <c r="D139" s="55"/>
      <c r="E139" s="55"/>
      <c r="F139" s="55"/>
      <c r="G139" s="55"/>
      <c r="H139" s="55"/>
      <c r="I139" s="55"/>
      <c r="J139" s="55"/>
    </row>
    <row r="140" spans="1:20" ht="18" customHeight="1" x14ac:dyDescent="0.3">
      <c r="A140" s="61" t="s">
        <v>307</v>
      </c>
      <c r="B140" s="55"/>
      <c r="C140" s="55"/>
      <c r="D140" s="55"/>
      <c r="E140" s="55"/>
      <c r="F140" s="55"/>
      <c r="G140" s="55"/>
      <c r="H140" s="55"/>
      <c r="I140" s="55"/>
      <c r="J140" s="55"/>
    </row>
    <row r="141" spans="1:20" ht="18" customHeight="1" x14ac:dyDescent="0.3">
      <c r="A141" s="61" t="s">
        <v>308</v>
      </c>
      <c r="B141" s="55"/>
      <c r="C141" s="55"/>
      <c r="D141" s="55"/>
      <c r="E141" s="55"/>
      <c r="F141" s="55"/>
      <c r="G141" s="55"/>
      <c r="H141" s="55"/>
      <c r="I141" s="55"/>
      <c r="J141" s="55"/>
    </row>
    <row r="142" spans="1:20" ht="18" customHeight="1" x14ac:dyDescent="0.3">
      <c r="A142" s="59" t="s">
        <v>309</v>
      </c>
      <c r="B142" s="55"/>
      <c r="C142" s="55"/>
      <c r="D142" s="55"/>
      <c r="E142" s="55"/>
      <c r="F142" s="55"/>
      <c r="G142" s="55"/>
      <c r="H142" s="55"/>
      <c r="I142" s="55"/>
      <c r="J142" s="55"/>
    </row>
    <row r="143" spans="1:20" ht="4.05" customHeight="1" x14ac:dyDescent="0.3"/>
    <row r="144" spans="1:20" ht="30" customHeight="1" x14ac:dyDescent="0.3">
      <c r="A144" s="64" t="s">
        <v>310</v>
      </c>
      <c r="B144" s="55"/>
      <c r="C144" s="55"/>
      <c r="D144" s="55"/>
      <c r="E144" s="55"/>
      <c r="F144" s="55"/>
      <c r="G144" s="55"/>
      <c r="H144" s="55"/>
      <c r="I144" s="55"/>
      <c r="J144" s="55"/>
      <c r="L144" s="63" t="s">
        <v>311</v>
      </c>
      <c r="M144" s="55"/>
      <c r="N144" s="55"/>
      <c r="O144" s="55"/>
      <c r="P144" s="55"/>
      <c r="Q144" s="55"/>
      <c r="R144" s="55"/>
      <c r="S144" s="55"/>
      <c r="T144" s="55"/>
    </row>
    <row r="145" spans="12:22" ht="24" customHeight="1" x14ac:dyDescent="0.3">
      <c r="L145" s="1" t="s">
        <v>105</v>
      </c>
      <c r="M145" s="1" t="s">
        <v>312</v>
      </c>
      <c r="N145" s="1" t="s">
        <v>313</v>
      </c>
      <c r="O145" s="1" t="s">
        <v>314</v>
      </c>
      <c r="P145" s="1" t="s">
        <v>206</v>
      </c>
      <c r="Q145" s="1" t="s">
        <v>158</v>
      </c>
      <c r="R145" s="1" t="s">
        <v>315</v>
      </c>
      <c r="S145" s="1" t="s">
        <v>316</v>
      </c>
      <c r="T145" s="1" t="s">
        <v>317</v>
      </c>
      <c r="U145" s="1" t="s">
        <v>318</v>
      </c>
      <c r="V145" s="1" t="s">
        <v>261</v>
      </c>
    </row>
    <row r="146" spans="12:22" ht="19.95" customHeight="1" x14ac:dyDescent="0.3">
      <c r="L146" s="3">
        <v>6745</v>
      </c>
      <c r="M146" s="3">
        <v>2831</v>
      </c>
      <c r="N146" s="3">
        <v>1264</v>
      </c>
      <c r="O146" s="3">
        <v>2650</v>
      </c>
      <c r="P146" s="3">
        <v>3914</v>
      </c>
      <c r="Q146" s="3">
        <v>41.97</v>
      </c>
      <c r="R146" s="3">
        <v>58.03</v>
      </c>
      <c r="S146" s="3">
        <v>301</v>
      </c>
      <c r="T146" s="3">
        <v>5</v>
      </c>
      <c r="U146" s="3">
        <v>1349</v>
      </c>
      <c r="V146" s="3">
        <v>52.41</v>
      </c>
    </row>
  </sheetData>
  <mergeCells count="76">
    <mergeCell ref="A4:T4"/>
    <mergeCell ref="A18:J18"/>
    <mergeCell ref="A136:J136"/>
    <mergeCell ref="A139:J139"/>
    <mergeCell ref="A12:J12"/>
    <mergeCell ref="A50:J50"/>
    <mergeCell ref="A95:J95"/>
    <mergeCell ref="A86:J86"/>
    <mergeCell ref="A42:J42"/>
    <mergeCell ref="A129:J129"/>
    <mergeCell ref="L144:T144"/>
    <mergeCell ref="A48:J48"/>
    <mergeCell ref="L22:T22"/>
    <mergeCell ref="A142:J142"/>
    <mergeCell ref="A11:J11"/>
    <mergeCell ref="A49:J49"/>
    <mergeCell ref="A51:J51"/>
    <mergeCell ref="A45:J45"/>
    <mergeCell ref="A94:J94"/>
    <mergeCell ref="L99:T99"/>
    <mergeCell ref="A132:J132"/>
    <mergeCell ref="A138:J138"/>
    <mergeCell ref="A88:J88"/>
    <mergeCell ref="A87:J87"/>
    <mergeCell ref="A16:J16"/>
    <mergeCell ref="A54:J54"/>
    <mergeCell ref="A1:T1"/>
    <mergeCell ref="A44:J44"/>
    <mergeCell ref="A93:J93"/>
    <mergeCell ref="L54:T54"/>
    <mergeCell ref="A40:J40"/>
    <mergeCell ref="A9:J9"/>
    <mergeCell ref="A92:J92"/>
    <mergeCell ref="A39:J39"/>
    <mergeCell ref="A83:J83"/>
    <mergeCell ref="A15:J15"/>
    <mergeCell ref="A6:J6"/>
    <mergeCell ref="A7:J7"/>
    <mergeCell ref="A2:T2"/>
    <mergeCell ref="A41:J41"/>
    <mergeCell ref="A90:J90"/>
    <mergeCell ref="A37:J37"/>
    <mergeCell ref="A135:J135"/>
    <mergeCell ref="A141:J141"/>
    <mergeCell ref="A140:J140"/>
    <mergeCell ref="A91:J91"/>
    <mergeCell ref="A144:J144"/>
    <mergeCell ref="A96:J96"/>
    <mergeCell ref="A134:J134"/>
    <mergeCell ref="A130:J130"/>
    <mergeCell ref="A137:J137"/>
    <mergeCell ref="A128:J128"/>
    <mergeCell ref="A99:J99"/>
    <mergeCell ref="A133:J133"/>
    <mergeCell ref="A127:T127"/>
    <mergeCell ref="A22:J22"/>
    <mergeCell ref="A17:J17"/>
    <mergeCell ref="A97:J97"/>
    <mergeCell ref="A131:J131"/>
    <mergeCell ref="A20:J20"/>
    <mergeCell ref="A38:J38"/>
    <mergeCell ref="A43:J43"/>
    <mergeCell ref="A82:T82"/>
    <mergeCell ref="A52:J52"/>
    <mergeCell ref="A36:T36"/>
    <mergeCell ref="A19:J19"/>
    <mergeCell ref="A46:J46"/>
    <mergeCell ref="A84:J84"/>
    <mergeCell ref="A89:J89"/>
    <mergeCell ref="A47:J47"/>
    <mergeCell ref="A5:J5"/>
    <mergeCell ref="A85:J85"/>
    <mergeCell ref="A8:J8"/>
    <mergeCell ref="A14:J14"/>
    <mergeCell ref="A10:J10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"/>
  <sheetViews>
    <sheetView showGridLines="0" tabSelected="1" zoomScale="85" workbookViewId="0">
      <selection sqref="A1:V1"/>
    </sheetView>
  </sheetViews>
  <sheetFormatPr defaultRowHeight="14.4" x14ac:dyDescent="0.3"/>
  <cols>
    <col min="1" max="1" width="22" customWidth="1"/>
    <col min="2" max="2" width="10" customWidth="1"/>
    <col min="3" max="3" width="4" customWidth="1"/>
    <col min="4" max="4" width="16" customWidth="1"/>
    <col min="5" max="5" width="10" customWidth="1"/>
    <col min="6" max="6" width="12" customWidth="1"/>
    <col min="7" max="7" width="4" customWidth="1"/>
    <col min="8" max="8" width="8" customWidth="1"/>
    <col min="9" max="10" width="10" customWidth="1"/>
    <col min="11" max="11" width="4" customWidth="1"/>
    <col min="12" max="12" width="8" customWidth="1"/>
    <col min="13" max="13" width="12" customWidth="1"/>
    <col min="14" max="14" width="16" customWidth="1"/>
  </cols>
  <sheetData>
    <row r="1" spans="1:22" ht="36" customHeight="1" x14ac:dyDescent="0.3">
      <c r="A1" s="58" t="s">
        <v>319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4.95" customHeight="1" x14ac:dyDescent="0.3">
      <c r="A2" s="57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 ht="19.95" customHeight="1" x14ac:dyDescent="0.3">
      <c r="A3" s="40" t="s">
        <v>320</v>
      </c>
      <c r="B3" s="41" t="s">
        <v>321</v>
      </c>
      <c r="C3" s="42" t="s">
        <v>322</v>
      </c>
      <c r="D3" s="43" t="s">
        <v>323</v>
      </c>
      <c r="E3" s="42" t="s">
        <v>324</v>
      </c>
      <c r="F3" s="44" t="s">
        <v>325</v>
      </c>
      <c r="G3" s="45" t="s">
        <v>326</v>
      </c>
      <c r="H3" s="46" t="s">
        <v>327</v>
      </c>
    </row>
    <row r="4" spans="1:22" ht="46.05" customHeight="1" x14ac:dyDescent="0.3">
      <c r="A4" s="47">
        <v>6745</v>
      </c>
      <c r="B4" s="48">
        <v>2831</v>
      </c>
      <c r="C4" s="49">
        <v>1264</v>
      </c>
      <c r="D4" s="50">
        <v>2650</v>
      </c>
      <c r="E4" s="49">
        <v>3914</v>
      </c>
      <c r="F4" s="51" t="s">
        <v>328</v>
      </c>
      <c r="G4" s="52">
        <v>300</v>
      </c>
      <c r="H4" s="53" t="s">
        <v>329</v>
      </c>
    </row>
    <row r="5" spans="1:22" ht="7.95" customHeight="1" x14ac:dyDescent="0.3"/>
    <row r="6" spans="1:22" x14ac:dyDescent="0.3">
      <c r="A6" t="s">
        <v>16</v>
      </c>
      <c r="B6" t="s">
        <v>330</v>
      </c>
      <c r="D6" t="s">
        <v>24</v>
      </c>
      <c r="E6" t="s">
        <v>155</v>
      </c>
      <c r="F6" t="s">
        <v>26</v>
      </c>
      <c r="H6" t="s">
        <v>18</v>
      </c>
      <c r="I6" t="s">
        <v>112</v>
      </c>
      <c r="J6" t="s">
        <v>154</v>
      </c>
      <c r="L6" t="s">
        <v>18</v>
      </c>
      <c r="M6" t="s">
        <v>295</v>
      </c>
      <c r="N6" t="s">
        <v>297</v>
      </c>
    </row>
    <row r="7" spans="1:22" x14ac:dyDescent="0.3">
      <c r="A7" t="s">
        <v>108</v>
      </c>
      <c r="B7">
        <v>2831</v>
      </c>
      <c r="D7" t="s">
        <v>130</v>
      </c>
      <c r="E7">
        <v>854</v>
      </c>
      <c r="F7">
        <v>1249</v>
      </c>
      <c r="H7">
        <v>18</v>
      </c>
      <c r="I7">
        <v>24</v>
      </c>
      <c r="J7">
        <v>322</v>
      </c>
      <c r="L7">
        <v>0</v>
      </c>
      <c r="M7">
        <v>59</v>
      </c>
      <c r="N7">
        <v>1.5</v>
      </c>
    </row>
    <row r="8" spans="1:22" x14ac:dyDescent="0.3">
      <c r="A8" t="s">
        <v>110</v>
      </c>
      <c r="B8">
        <v>2650</v>
      </c>
      <c r="D8" t="s">
        <v>131</v>
      </c>
      <c r="E8">
        <v>491</v>
      </c>
      <c r="F8">
        <v>984</v>
      </c>
      <c r="H8">
        <v>19</v>
      </c>
      <c r="I8">
        <v>24</v>
      </c>
      <c r="J8">
        <v>283</v>
      </c>
      <c r="L8">
        <v>1</v>
      </c>
      <c r="M8">
        <v>60</v>
      </c>
      <c r="N8">
        <v>3</v>
      </c>
    </row>
    <row r="9" spans="1:22" x14ac:dyDescent="0.3">
      <c r="A9" t="s">
        <v>112</v>
      </c>
      <c r="B9">
        <v>1264</v>
      </c>
      <c r="D9" t="s">
        <v>133</v>
      </c>
      <c r="E9">
        <v>432</v>
      </c>
      <c r="F9">
        <v>452</v>
      </c>
      <c r="H9">
        <v>20</v>
      </c>
      <c r="I9">
        <v>41</v>
      </c>
      <c r="J9">
        <v>290</v>
      </c>
      <c r="L9">
        <v>2</v>
      </c>
      <c r="M9">
        <v>62</v>
      </c>
      <c r="N9">
        <v>4.5999999999999996</v>
      </c>
    </row>
    <row r="10" spans="1:22" x14ac:dyDescent="0.3">
      <c r="D10" t="s">
        <v>132</v>
      </c>
      <c r="E10">
        <v>399</v>
      </c>
      <c r="F10">
        <v>548</v>
      </c>
      <c r="H10">
        <v>21</v>
      </c>
      <c r="I10">
        <v>42</v>
      </c>
      <c r="J10">
        <v>265</v>
      </c>
      <c r="L10">
        <v>3</v>
      </c>
      <c r="M10">
        <v>58</v>
      </c>
      <c r="N10">
        <v>6.1</v>
      </c>
    </row>
    <row r="11" spans="1:22" x14ac:dyDescent="0.3">
      <c r="D11" t="s">
        <v>135</v>
      </c>
      <c r="E11">
        <v>441</v>
      </c>
      <c r="F11">
        <v>317</v>
      </c>
      <c r="H11">
        <v>17</v>
      </c>
      <c r="I11">
        <v>35</v>
      </c>
      <c r="J11">
        <v>232</v>
      </c>
      <c r="L11">
        <v>4</v>
      </c>
      <c r="M11">
        <v>125</v>
      </c>
      <c r="N11">
        <v>9.3000000000000007</v>
      </c>
    </row>
    <row r="12" spans="1:22" x14ac:dyDescent="0.3">
      <c r="D12" t="s">
        <v>134</v>
      </c>
      <c r="E12">
        <v>214</v>
      </c>
      <c r="F12">
        <v>364</v>
      </c>
      <c r="H12">
        <v>9</v>
      </c>
      <c r="I12">
        <v>175</v>
      </c>
      <c r="J12">
        <v>83</v>
      </c>
      <c r="L12">
        <v>5</v>
      </c>
      <c r="M12">
        <v>260</v>
      </c>
      <c r="N12">
        <v>15.9</v>
      </c>
    </row>
    <row r="13" spans="1:22" x14ac:dyDescent="0.3">
      <c r="H13">
        <v>8</v>
      </c>
      <c r="I13">
        <v>178</v>
      </c>
      <c r="J13">
        <v>90</v>
      </c>
      <c r="L13">
        <v>6</v>
      </c>
      <c r="M13">
        <v>231</v>
      </c>
      <c r="N13">
        <v>21.8</v>
      </c>
    </row>
    <row r="14" spans="1:22" x14ac:dyDescent="0.3">
      <c r="H14">
        <v>5</v>
      </c>
      <c r="I14">
        <v>176</v>
      </c>
      <c r="J14">
        <v>84</v>
      </c>
      <c r="L14">
        <v>7</v>
      </c>
      <c r="M14">
        <v>232</v>
      </c>
      <c r="N14">
        <v>27.8</v>
      </c>
    </row>
    <row r="15" spans="1:22" x14ac:dyDescent="0.3">
      <c r="H15">
        <v>6</v>
      </c>
      <c r="I15">
        <v>145</v>
      </c>
      <c r="J15">
        <v>86</v>
      </c>
      <c r="L15">
        <v>8</v>
      </c>
      <c r="M15">
        <v>268</v>
      </c>
      <c r="N15">
        <v>34.6</v>
      </c>
    </row>
    <row r="16" spans="1:22" x14ac:dyDescent="0.3">
      <c r="H16">
        <v>7</v>
      </c>
      <c r="I16">
        <v>169</v>
      </c>
      <c r="J16">
        <v>63</v>
      </c>
      <c r="L16">
        <v>9</v>
      </c>
      <c r="M16">
        <v>258</v>
      </c>
      <c r="N16">
        <v>41.2</v>
      </c>
    </row>
    <row r="17" spans="12:14" x14ac:dyDescent="0.3">
      <c r="L17">
        <v>10</v>
      </c>
      <c r="M17">
        <v>127</v>
      </c>
      <c r="N17">
        <v>44.5</v>
      </c>
    </row>
    <row r="18" spans="12:14" x14ac:dyDescent="0.3">
      <c r="L18">
        <v>11</v>
      </c>
      <c r="M18">
        <v>56</v>
      </c>
      <c r="N18">
        <v>45.9</v>
      </c>
    </row>
    <row r="19" spans="12:14" x14ac:dyDescent="0.3">
      <c r="L19">
        <v>12</v>
      </c>
      <c r="M19">
        <v>63</v>
      </c>
      <c r="N19">
        <v>47.5</v>
      </c>
    </row>
    <row r="20" spans="12:14" x14ac:dyDescent="0.3">
      <c r="L20">
        <v>13</v>
      </c>
      <c r="M20">
        <v>71</v>
      </c>
      <c r="N20">
        <v>49.3</v>
      </c>
    </row>
    <row r="21" spans="12:14" x14ac:dyDescent="0.3">
      <c r="L21">
        <v>14</v>
      </c>
      <c r="M21">
        <v>48</v>
      </c>
      <c r="N21">
        <v>50.5</v>
      </c>
    </row>
    <row r="22" spans="12:14" x14ac:dyDescent="0.3">
      <c r="L22">
        <v>15</v>
      </c>
      <c r="M22">
        <v>69</v>
      </c>
      <c r="N22">
        <v>52.3</v>
      </c>
    </row>
    <row r="23" spans="12:14" x14ac:dyDescent="0.3">
      <c r="L23">
        <v>16</v>
      </c>
      <c r="M23">
        <v>68</v>
      </c>
      <c r="N23">
        <v>54</v>
      </c>
    </row>
    <row r="24" spans="12:14" x14ac:dyDescent="0.3">
      <c r="L24">
        <v>17</v>
      </c>
      <c r="M24">
        <v>267</v>
      </c>
      <c r="N24">
        <v>60.9</v>
      </c>
    </row>
    <row r="25" spans="12:14" x14ac:dyDescent="0.3">
      <c r="L25">
        <v>18</v>
      </c>
      <c r="M25">
        <v>346</v>
      </c>
      <c r="N25">
        <v>69.7</v>
      </c>
    </row>
    <row r="26" spans="12:14" x14ac:dyDescent="0.3">
      <c r="L26">
        <v>19</v>
      </c>
      <c r="M26">
        <v>307</v>
      </c>
      <c r="N26">
        <v>77.5</v>
      </c>
    </row>
    <row r="27" spans="12:14" x14ac:dyDescent="0.3">
      <c r="L27">
        <v>20</v>
      </c>
      <c r="M27">
        <v>331</v>
      </c>
      <c r="N27">
        <v>86</v>
      </c>
    </row>
    <row r="28" spans="12:14" x14ac:dyDescent="0.3">
      <c r="L28">
        <v>21</v>
      </c>
      <c r="M28">
        <v>307</v>
      </c>
      <c r="N28">
        <v>93.8</v>
      </c>
    </row>
    <row r="29" spans="12:14" x14ac:dyDescent="0.3">
      <c r="L29">
        <v>22</v>
      </c>
      <c r="M29">
        <v>150</v>
      </c>
      <c r="N29">
        <v>97.7</v>
      </c>
    </row>
    <row r="30" spans="12:14" x14ac:dyDescent="0.3">
      <c r="L30">
        <v>23</v>
      </c>
      <c r="M30">
        <v>91</v>
      </c>
      <c r="N30">
        <v>100</v>
      </c>
    </row>
  </sheetData>
  <mergeCells count="2">
    <mergeCell ref="A2:V2"/>
    <mergeCell ref="A1:V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SQL Index &amp; Summary</vt:lpstr>
      <vt:lpstr>📊 Queries 1–4</vt:lpstr>
      <vt:lpstr>📈 Queries 5–8</vt:lpstr>
      <vt:lpstr>🔬 Queries 9–12</vt:lpstr>
      <vt:lpstr>📉 SQL Result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Suman Sangeet</cp:lastModifiedBy>
  <dcterms:created xsi:type="dcterms:W3CDTF">2026-06-07T09:55:20Z</dcterms:created>
  <dcterms:modified xsi:type="dcterms:W3CDTF">2026-06-10T05:12:47Z</dcterms:modified>
</cp:coreProperties>
</file>