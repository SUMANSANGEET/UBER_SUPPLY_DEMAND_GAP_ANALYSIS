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CH-GENIUSES\Desktop\LABMENTIX\Data Analytics with AI\Project_1 Uber_Supply_Demand_gap_Analysis\UBER SUPPLY DEMAND GAPS-20260605T143337Z-3-001\UBER SUPPLY DEMAND GAPS\"/>
    </mc:Choice>
  </mc:AlternateContent>
  <xr:revisionPtr revIDLastSave="0" documentId="13_ncr:1_{4162FC89-4A92-4B0E-B4BB-D35A07DE86EB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📊 Executive Overview" sheetId="1" r:id="rId1"/>
    <sheet name="⏰ Hourly Operations" sheetId="2" r:id="rId2"/>
    <sheet name="🔴 Supply Gap Analysis" sheetId="3" r:id="rId3"/>
    <sheet name="✅ Trip Performance" sheetId="4" r:id="rId4"/>
    <sheet name="📅 Day &amp; Trend" sheetId="5" r:id="rId5"/>
    <sheet name="💡 Recommendations" sheetId="6" r:id="rId6"/>
  </sheets>
  <calcPr calcId="0"/>
</workbook>
</file>

<file path=xl/sharedStrings.xml><?xml version="1.0" encoding="utf-8"?>
<sst xmlns="http://schemas.openxmlformats.org/spreadsheetml/2006/main" count="468" uniqueCount="263">
  <si>
    <t>🚗   UBER SUPPLY-DEMAND GAP  |  EXECUTIVE DASHBOARD</t>
  </si>
  <si>
    <t>TOTAL REQUESTS</t>
  </si>
  <si>
    <t>COMPLETED</t>
  </si>
  <si>
    <t>UNFULFILLED</t>
  </si>
  <si>
    <t>CANCELLED</t>
  </si>
  <si>
    <t>NO CARS</t>
  </si>
  <si>
    <t>6,745</t>
  </si>
  <si>
    <t>2,831</t>
  </si>
  <si>
    <t>3,914</t>
  </si>
  <si>
    <t>1,264</t>
  </si>
  <si>
    <t>2,650</t>
  </si>
  <si>
    <t>All ride requests</t>
  </si>
  <si>
    <t>42.0% success rate</t>
  </si>
  <si>
    <t>58.0% gap rate</t>
  </si>
  <si>
    <t>Driver cancellations</t>
  </si>
  <si>
    <t>Fleet unavailable</t>
  </si>
  <si>
    <t xml:space="preserve">  📌  A.  REQUEST STATUS BREAKDOWN</t>
  </si>
  <si>
    <t xml:space="preserve">  📌  B.  PICKUP POINT BREAKDOWN</t>
  </si>
  <si>
    <t>Status</t>
  </si>
  <si>
    <t>Count</t>
  </si>
  <si>
    <t>Share %</t>
  </si>
  <si>
    <t>Pickup</t>
  </si>
  <si>
    <t>Total</t>
  </si>
  <si>
    <t>Completed</t>
  </si>
  <si>
    <t>Cancelled</t>
  </si>
  <si>
    <t>No Cars</t>
  </si>
  <si>
    <t>Trip Completed</t>
  </si>
  <si>
    <t>42.0%</t>
  </si>
  <si>
    <t>Airport</t>
  </si>
  <si>
    <t>No Cars Available</t>
  </si>
  <si>
    <t>39.3%</t>
  </si>
  <si>
    <t>City</t>
  </si>
  <si>
    <t>18.7%</t>
  </si>
  <si>
    <t xml:space="preserve">  📌  C.  TIME SLOT ANALYSIS</t>
  </si>
  <si>
    <t>Time Slot</t>
  </si>
  <si>
    <t>Unfulfilled</t>
  </si>
  <si>
    <t>Comp %</t>
  </si>
  <si>
    <t>Gap %</t>
  </si>
  <si>
    <t>Early Morning</t>
  </si>
  <si>
    <t>37.0%</t>
  </si>
  <si>
    <t>63.0%</t>
  </si>
  <si>
    <t>Morning</t>
  </si>
  <si>
    <t>40.6%</t>
  </si>
  <si>
    <t>59.4%</t>
  </si>
  <si>
    <t>Afternoon</t>
  </si>
  <si>
    <t>58.2%</t>
  </si>
  <si>
    <t>41.8%</t>
  </si>
  <si>
    <t>Evening</t>
  </si>
  <si>
    <t>48.9%</t>
  </si>
  <si>
    <t>51.1%</t>
  </si>
  <si>
    <t>Late Night</t>
  </si>
  <si>
    <t>33.3%</t>
  </si>
  <si>
    <t>66.7%</t>
  </si>
  <si>
    <t>Night</t>
  </si>
  <si>
    <t>42.1%</t>
  </si>
  <si>
    <t>57.9%</t>
  </si>
  <si>
    <t>⏰   HOURLY OPERATIONS DASHBOARD  |  24-Hour Demand &amp; Gap Analysis</t>
  </si>
  <si>
    <t>PEAK DEMAND</t>
  </si>
  <si>
    <t>PEAK GAP HOUR</t>
  </si>
  <si>
    <t>WORST GAP %</t>
  </si>
  <si>
    <t>BEST COMP HOUR</t>
  </si>
  <si>
    <t>AVG GAP %</t>
  </si>
  <si>
    <t>18:00</t>
  </si>
  <si>
    <t>70.6%</t>
  </si>
  <si>
    <t>05:00</t>
  </si>
  <si>
    <t>55.2%</t>
  </si>
  <si>
    <t>510 requests</t>
  </si>
  <si>
    <t>346 unfulfilled</t>
  </si>
  <si>
    <t>At hour 18:00</t>
  </si>
  <si>
    <t>185 completed</t>
  </si>
  <si>
    <t>Across all 24 hours</t>
  </si>
  <si>
    <t xml:space="preserve">  📋  HOURLY REQUEST DATA TABLE</t>
  </si>
  <si>
    <t>Hour</t>
  </si>
  <si>
    <t>NoCars</t>
  </si>
  <si>
    <t>Gap_Pct</t>
  </si>
  <si>
    <t>00:00</t>
  </si>
  <si>
    <t>40.4%</t>
  </si>
  <si>
    <t>59.6%</t>
  </si>
  <si>
    <t>01:00</t>
  </si>
  <si>
    <t>29.4%</t>
  </si>
  <si>
    <t>02:00</t>
  </si>
  <si>
    <t>37.4%</t>
  </si>
  <si>
    <t>62.6%</t>
  </si>
  <si>
    <t>03:00</t>
  </si>
  <si>
    <t>04:00</t>
  </si>
  <si>
    <t>38.4%</t>
  </si>
  <si>
    <t>61.6%</t>
  </si>
  <si>
    <t>41.6%</t>
  </si>
  <si>
    <t>58.4%</t>
  </si>
  <si>
    <t>06:00</t>
  </si>
  <si>
    <t>58.0%</t>
  </si>
  <si>
    <t>07:00</t>
  </si>
  <si>
    <t>42.9%</t>
  </si>
  <si>
    <t>57.1%</t>
  </si>
  <si>
    <t>08:00</t>
  </si>
  <si>
    <t>36.6%</t>
  </si>
  <si>
    <t>63.4%</t>
  </si>
  <si>
    <t>09:00</t>
  </si>
  <si>
    <t>40.1%</t>
  </si>
  <si>
    <t>59.9%</t>
  </si>
  <si>
    <t>10:00</t>
  </si>
  <si>
    <t>47.7%</t>
  </si>
  <si>
    <t>52.3%</t>
  </si>
  <si>
    <t>11:00</t>
  </si>
  <si>
    <t>67.3%</t>
  </si>
  <si>
    <t>32.7%</t>
  </si>
  <si>
    <t>12:00</t>
  </si>
  <si>
    <t>65.8%</t>
  </si>
  <si>
    <t>34.2%</t>
  </si>
  <si>
    <t>13:00</t>
  </si>
  <si>
    <t>55.6%</t>
  </si>
  <si>
    <t>44.4%</t>
  </si>
  <si>
    <t>14:00</t>
  </si>
  <si>
    <t>64.7%</t>
  </si>
  <si>
    <t>35.3%</t>
  </si>
  <si>
    <t>15:00</t>
  </si>
  <si>
    <t>16:00</t>
  </si>
  <si>
    <t>57.2%</t>
  </si>
  <si>
    <t>42.8%</t>
  </si>
  <si>
    <t>17:00</t>
  </si>
  <si>
    <t>36.1%</t>
  </si>
  <si>
    <t>63.9%</t>
  </si>
  <si>
    <t>32.2%</t>
  </si>
  <si>
    <t>67.8%</t>
  </si>
  <si>
    <t>19:00</t>
  </si>
  <si>
    <t>35.1%</t>
  </si>
  <si>
    <t>64.9%</t>
  </si>
  <si>
    <t>20:00</t>
  </si>
  <si>
    <t>21:00</t>
  </si>
  <si>
    <t>31.6%</t>
  </si>
  <si>
    <t>68.4%</t>
  </si>
  <si>
    <t>22:00</t>
  </si>
  <si>
    <t>50.7%</t>
  </si>
  <si>
    <t>49.3%</t>
  </si>
  <si>
    <t>23:00</t>
  </si>
  <si>
    <t>53.1%</t>
  </si>
  <si>
    <t>46.9%</t>
  </si>
  <si>
    <t>🔴   SUPPLY GAP DEEP DIVE  |  Root Cause: Where &amp; When Uber Fails</t>
  </si>
  <si>
    <t>AIRPORT UNFULFL.</t>
  </si>
  <si>
    <t>CITY UNFULFILLED</t>
  </si>
  <si>
    <t>NIGHT GAP</t>
  </si>
  <si>
    <t>MORNING GAP</t>
  </si>
  <si>
    <t>TOTAL GAP</t>
  </si>
  <si>
    <t>1,911</t>
  </si>
  <si>
    <t>2,003</t>
  </si>
  <si>
    <t>548</t>
  </si>
  <si>
    <t>1,249</t>
  </si>
  <si>
    <t>52.9% No Cars rate</t>
  </si>
  <si>
    <t>30.4% Cancel rate</t>
  </si>
  <si>
    <t>Worst slot (21-23h)</t>
  </si>
  <si>
    <t>2nd highest (5-9h)</t>
  </si>
  <si>
    <t>58.0% of all reqs</t>
  </si>
  <si>
    <t xml:space="preserve">  🔥  A.  UNFULFILLED HEATMAP  —  Pickup Point × Time Slot  (darker red = worse gap)</t>
  </si>
  <si>
    <t>Pickup Point</t>
  </si>
  <si>
    <t xml:space="preserve">  📊  B.  FAILURE TYPE BY TIME SLOT</t>
  </si>
  <si>
    <t>Total Unfulfl.</t>
  </si>
  <si>
    <t>Cancel %</t>
  </si>
  <si>
    <t>No Car %</t>
  </si>
  <si>
    <t>17.9%</t>
  </si>
  <si>
    <t>82.1%</t>
  </si>
  <si>
    <t>67.5%</t>
  </si>
  <si>
    <t>32.5%</t>
  </si>
  <si>
    <t>36.0%</t>
  </si>
  <si>
    <t>64.0%</t>
  </si>
  <si>
    <t>19.7%</t>
  </si>
  <si>
    <t>80.3%</t>
  </si>
  <si>
    <t>9.0%</t>
  </si>
  <si>
    <t>91.0%</t>
  </si>
  <si>
    <t>11.7%</t>
  </si>
  <si>
    <t>88.3%</t>
  </si>
  <si>
    <t>✅   TRIP PERFORMANCE DASHBOARD  |  Completed Trips Deep Dive</t>
  </si>
  <si>
    <t>AVG DURATION</t>
  </si>
  <si>
    <t>AIRPORT AVG</t>
  </si>
  <si>
    <t>CITY AVG</t>
  </si>
  <si>
    <t>LONGEST TRIP</t>
  </si>
  <si>
    <t>TOTAL COMPLETED</t>
  </si>
  <si>
    <t>52.4 min</t>
  </si>
  <si>
    <t>52.2 min</t>
  </si>
  <si>
    <t>52.6 min</t>
  </si>
  <si>
    <t>83 min</t>
  </si>
  <si>
    <t>All completed trips</t>
  </si>
  <si>
    <t>Airport → City</t>
  </si>
  <si>
    <t>City → Airport</t>
  </si>
  <si>
    <t>Max recorded</t>
  </si>
  <si>
    <t>42.0% of all reqs</t>
  </si>
  <si>
    <t xml:space="preserve">  📋  A.  AVG DURATION BY TIME SLOT</t>
  </si>
  <si>
    <t xml:space="preserve">  📋  B.  DURATION STATS BY PICKUP POINT</t>
  </si>
  <si>
    <t>Avg (min)</t>
  </si>
  <si>
    <t>vs Avg</t>
  </si>
  <si>
    <t>Mean</t>
  </si>
  <si>
    <t>Median</t>
  </si>
  <si>
    <t>Min</t>
  </si>
  <si>
    <t>Max</t>
  </si>
  <si>
    <t>▲ Above</t>
  </si>
  <si>
    <t>▼ Below</t>
  </si>
  <si>
    <t xml:space="preserve">  📊  C.  COMPLETION RATE BY TIME SLOT</t>
  </si>
  <si>
    <t>Avg_Dur</t>
  </si>
  <si>
    <t>Comp%</t>
  </si>
  <si>
    <t>📅   DAY &amp; TREND DASHBOARD  |  5-Day Pattern &amp; Consistency Check</t>
  </si>
  <si>
    <t>BUSIEST DAY</t>
  </si>
  <si>
    <t>HIGHEST GAP DAY</t>
  </si>
  <si>
    <t>AVG DAILY REQS</t>
  </si>
  <si>
    <t>DAYS COVERED</t>
  </si>
  <si>
    <t>GAP CONSISTENT</t>
  </si>
  <si>
    <t>Friday</t>
  </si>
  <si>
    <t>Thursday</t>
  </si>
  <si>
    <t>1,349</t>
  </si>
  <si>
    <t>5</t>
  </si>
  <si>
    <t>YES</t>
  </si>
  <si>
    <t>1381 requests</t>
  </si>
  <si>
    <t>823 unfulfilled</t>
  </si>
  <si>
    <t>Per weekday average</t>
  </si>
  <si>
    <t>Mon–Fri (11–15 Jul)</t>
  </si>
  <si>
    <t>Every single day</t>
  </si>
  <si>
    <t xml:space="preserve">  📋  A.  DAILY BREAKDOWN TABLE</t>
  </si>
  <si>
    <t xml:space="preserve">  📋  B.  PICKUP SPLIT BY DAY</t>
  </si>
  <si>
    <t>Day</t>
  </si>
  <si>
    <t>Gap%</t>
  </si>
  <si>
    <t>Monday</t>
  </si>
  <si>
    <t>44.0%</t>
  </si>
  <si>
    <t>56.0%</t>
  </si>
  <si>
    <t>Tuesday</t>
  </si>
  <si>
    <t>43.0%</t>
  </si>
  <si>
    <t>57.0%</t>
  </si>
  <si>
    <t>Wednesday</t>
  </si>
  <si>
    <t>43.2%</t>
  </si>
  <si>
    <t>56.8%</t>
  </si>
  <si>
    <t>39.2%</t>
  </si>
  <si>
    <t>60.8%</t>
  </si>
  <si>
    <t>💡  DATA-DRIVEN RECOMMENDATIONS  |  Closing the 58% Supply-Demand Gap</t>
  </si>
  <si>
    <t>Analysis of 6,745 ride requests revealed 3,914 (58%) unfulfilled. Two root causes: Driver Cancellations in City Morning (843 incidents) and No Cars Available at Airport Night (911 incidents). Five targeted interventions prioritised by impact.</t>
  </si>
  <si>
    <t>🌅  1. Morning Rush Incentives  (City → Airport, 5–9h)</t>
  </si>
  <si>
    <t>⚡ Priority: HIGH</t>
  </si>
  <si>
    <t>Problem</t>
  </si>
  <si>
    <t>843 driver cancellations in City Morning (71.9% gap)</t>
  </si>
  <si>
    <t>Solution</t>
  </si>
  <si>
    <t>1.5× fare guarantee for City→Airport during 5–9h</t>
  </si>
  <si>
    <t>Est. Impact</t>
  </si>
  <si>
    <t>~600 fewer cancellations/week → +21% completion</t>
  </si>
  <si>
    <t>Implementation</t>
  </si>
  <si>
    <t>Update surge algo; push notifications to City drivers</t>
  </si>
  <si>
    <t>🌙  2. Dedicated Night Driver Shift  (Airport, 18–23h)</t>
  </si>
  <si>
    <t>911 No Cars at Airport Late Night — 79.3% gap (worst)</t>
  </si>
  <si>
    <t>Dedicated night fleet with ₹50/km night bonus</t>
  </si>
  <si>
    <t>~700 more completions/week; fills Airport night gap</t>
  </si>
  <si>
    <t>Recruit part-time drivers; partner with taxi unions</t>
  </si>
  <si>
    <t>📅  3. Pre-Scheduled Airport Rides</t>
  </si>
  <si>
    <t>⚡ Priority: MEDIUM</t>
  </si>
  <si>
    <t>Airport demand spikes — no cars at short notice</t>
  </si>
  <si>
    <t>Allow 30–60 min advance booking with guaranteed driver</t>
  </si>
  <si>
    <t>~300 additional completions via pre-positioning</t>
  </si>
  <si>
    <t>Add "Schedule Ride" in app; alert drivers 45 min ahead</t>
  </si>
  <si>
    <t>🗺  4. Dynamic Fleet Redistribution</t>
  </si>
  <si>
    <t>City cars idle afternoons while Airport starves from 17h</t>
  </si>
  <si>
    <t>Move City cars toward Airport predictively before 16:00</t>
  </si>
  <si>
    <t>~250 more Airport Evening completions; less idle fleet</t>
  </si>
  <si>
    <t>ML demand forecasting + automated dispatch trigger</t>
  </si>
  <si>
    <t>⭐  5. Driver Rating &amp; Incentive Program</t>
  </si>
  <si>
    <t>⚡ Priority: LOW</t>
  </si>
  <si>
    <t>Repeat early-morning cancellations by same City drivers</t>
  </si>
  <si>
    <t>3-strike cancel penalty + Star bonus for peak completions</t>
  </si>
  <si>
    <t>~30% fewer habitual cancels → +200 completions/week</t>
  </si>
  <si>
    <t>Update driver app; weekly bonus via UPI/wallet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</si>
</sst>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sz val="9"/>
      <color rgb="FF4A6080"/>
      <name val="Arial"/>
    </font>
    <font>
      <b/>
      <sz val="22"/>
      <color rgb="FF2E6DA4"/>
      <name val="Arial"/>
    </font>
    <font>
      <sz val="8"/>
      <color rgb="FF4A6080"/>
      <name val="Arial"/>
    </font>
    <font>
      <b/>
      <sz val="22"/>
      <color rgb="FF27AE60"/>
      <name val="Arial"/>
    </font>
    <font>
      <b/>
      <sz val="22"/>
      <color rgb="FFC0392B"/>
      <name val="Arial"/>
    </font>
    <font>
      <b/>
      <sz val="22"/>
      <color rgb="FFE67E22"/>
      <name val="Arial"/>
    </font>
    <font>
      <b/>
      <sz val="22"/>
      <color rgb="FF7D3C98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color rgb="FF27AE60"/>
      <name val="Arial"/>
    </font>
    <font>
      <b/>
      <sz val="11"/>
      <color rgb="FF1A2B3C"/>
      <name val="Arial"/>
    </font>
    <font>
      <b/>
      <sz val="10"/>
      <color rgb="FFE67E22"/>
      <name val="Arial"/>
    </font>
    <font>
      <b/>
      <sz val="10"/>
      <color rgb="FFC0392B"/>
      <name val="Arial"/>
    </font>
    <font>
      <b/>
      <sz val="10"/>
      <color rgb="FF1A2B3C"/>
      <name val="Arial"/>
    </font>
    <font>
      <b/>
      <sz val="9"/>
      <color rgb="FF27AE60"/>
      <name val="Arial"/>
    </font>
    <font>
      <b/>
      <sz val="9"/>
      <color rgb="FFC0392B"/>
      <name val="Arial"/>
    </font>
    <font>
      <b/>
      <sz val="9"/>
      <color rgb="FFE67E22"/>
      <name val="Arial"/>
    </font>
    <font>
      <b/>
      <sz val="10"/>
      <color rgb="FFE65100"/>
      <name val="Arial"/>
    </font>
    <font>
      <sz val="10"/>
      <color rgb="FF1A2B3C"/>
      <name val="Arial"/>
    </font>
    <font>
      <b/>
      <sz val="10"/>
      <color rgb="FF2E7D32"/>
      <name val="Arial"/>
    </font>
    <font>
      <b/>
      <sz val="10"/>
      <color rgb="FF1565A0"/>
      <name val="Arial"/>
    </font>
    <font>
      <b/>
      <sz val="10"/>
      <color rgb="FF6A1B9A"/>
      <name val="Arial"/>
    </font>
    <font>
      <b/>
      <sz val="10"/>
      <color rgb="FFB71C1C"/>
      <name val="Arial"/>
    </font>
    <font>
      <b/>
      <sz val="10"/>
      <color rgb="FF4A148C"/>
      <name val="Arial"/>
    </font>
    <font>
      <b/>
      <sz val="9"/>
      <color rgb="FF1A2B3C"/>
      <name val="Arial"/>
    </font>
    <font>
      <sz val="9"/>
      <color rgb="FF1A2B3C"/>
      <name val="Arial"/>
    </font>
    <font>
      <b/>
      <sz val="22"/>
      <color rgb="FF1A3A5C"/>
      <name val="Arial"/>
    </font>
    <font>
      <b/>
      <sz val="12"/>
      <color rgb="FF1A2B3C"/>
      <name val="Arial"/>
    </font>
    <font>
      <b/>
      <sz val="12"/>
      <color rgb="FFFFFFFF"/>
      <name val="Arial"/>
    </font>
    <font>
      <sz val="10"/>
      <color rgb="FFC0392B"/>
      <name val="Arial"/>
    </font>
    <font>
      <sz val="10"/>
      <color rgb="FFE67E22"/>
      <name val="Arial"/>
    </font>
    <font>
      <b/>
      <sz val="22"/>
      <color rgb="FF1A7B6B"/>
      <name val="Arial"/>
    </font>
    <font>
      <b/>
      <sz val="14"/>
      <color rgb="FFFFFFFF"/>
      <name val="Arial"/>
    </font>
    <font>
      <i/>
      <sz val="10"/>
      <color rgb="FF1A3A5C"/>
      <name val="Arial"/>
    </font>
    <font>
      <b/>
      <sz val="10"/>
      <color rgb="FF7B0000"/>
      <name val="Arial"/>
    </font>
    <font>
      <b/>
      <sz val="9"/>
      <color rgb="FFFFFFFF"/>
      <name val="Arial"/>
    </font>
    <font>
      <sz val="9"/>
      <color rgb="FF1A3A5C"/>
      <name val="Arial"/>
    </font>
    <font>
      <b/>
      <sz val="10"/>
      <color rgb="FF6D3B00"/>
      <name val="Arial"/>
    </font>
    <font>
      <b/>
      <sz val="10"/>
      <color rgb="FF1B5E20"/>
      <name val="Arial"/>
    </font>
  </fonts>
  <fills count="45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E8A838"/>
      </patternFill>
    </fill>
    <fill>
      <patternFill patternType="solid">
        <fgColor rgb="FF5BA3D9"/>
      </patternFill>
    </fill>
    <fill>
      <patternFill patternType="solid">
        <fgColor rgb="FF2E6DA4"/>
      </patternFill>
    </fill>
    <fill>
      <patternFill patternType="solid">
        <fgColor rgb="FFFFFFFF"/>
      </patternFill>
    </fill>
    <fill>
      <patternFill patternType="solid">
        <fgColor rgb="FF27AE60"/>
      </patternFill>
    </fill>
    <fill>
      <patternFill patternType="solid">
        <fgColor rgb="FFC0392B"/>
      </patternFill>
    </fill>
    <fill>
      <patternFill patternType="solid">
        <fgColor rgb="FFE67E22"/>
      </patternFill>
    </fill>
    <fill>
      <patternFill patternType="solid">
        <fgColor rgb="FF7D3C9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ADBD8"/>
      </patternFill>
    </fill>
    <fill>
      <patternFill patternType="solid">
        <fgColor rgb="FF1A7B6B"/>
      </patternFill>
    </fill>
    <fill>
      <patternFill patternType="solid">
        <fgColor rgb="FFD6E4F0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FCE4EC"/>
      </patternFill>
    </fill>
    <fill>
      <patternFill patternType="solid">
        <fgColor rgb="FFEDE7F6"/>
      </patternFill>
    </fill>
    <fill>
      <patternFill patternType="solid">
        <fgColor rgb="FFF7F9FC"/>
      </patternFill>
    </fill>
    <fill>
      <patternFill patternType="solid">
        <fgColor rgb="FFEEF2F7"/>
      </patternFill>
    </fill>
    <fill>
      <patternFill patternType="solid">
        <fgColor rgb="FFE65100"/>
      </patternFill>
    </fill>
    <fill>
      <patternFill patternType="solid">
        <fgColor rgb="FF2E7D32"/>
      </patternFill>
    </fill>
    <fill>
      <patternFill patternType="solid">
        <fgColor rgb="FF1565A0"/>
      </patternFill>
    </fill>
    <fill>
      <patternFill patternType="solid">
        <fgColor rgb="FF6A1B9A"/>
      </patternFill>
    </fill>
    <fill>
      <patternFill patternType="solid">
        <fgColor rgb="FFB71C1C"/>
      </patternFill>
    </fill>
    <fill>
      <patternFill patternType="solid">
        <fgColor rgb="FF4A148C"/>
      </patternFill>
    </fill>
    <fill>
      <patternFill patternType="solid">
        <fgColor rgb="FFF7E6E4"/>
      </patternFill>
    </fill>
    <fill>
      <patternFill patternType="solid">
        <fgColor rgb="FFFCF7F7"/>
      </patternFill>
    </fill>
    <fill>
      <patternFill patternType="solid">
        <fgColor rgb="FFFAF0EE"/>
      </patternFill>
    </fill>
    <fill>
      <patternFill patternType="solid">
        <fgColor rgb="FFEFCECB"/>
      </patternFill>
    </fill>
    <fill>
      <patternFill patternType="solid">
        <fgColor rgb="FFCF695E"/>
      </patternFill>
    </fill>
    <fill>
      <patternFill patternType="solid">
        <fgColor rgb="FFE8B9B4"/>
      </patternFill>
    </fill>
    <fill>
      <patternFill patternType="solid">
        <fgColor rgb="FFF3DBD9"/>
      </patternFill>
    </fill>
    <fill>
      <patternFill patternType="solid">
        <fgColor rgb="FFF3D9D7"/>
      </patternFill>
    </fill>
    <fill>
      <patternFill patternType="solid">
        <fgColor rgb="FFF6E5E3"/>
      </patternFill>
    </fill>
    <fill>
      <patternFill patternType="solid">
        <fgColor rgb="FFFBF3F2"/>
      </patternFill>
    </fill>
    <fill>
      <patternFill patternType="solid">
        <fgColor rgb="FFF8EAE8"/>
      </patternFill>
    </fill>
    <fill>
      <patternFill patternType="solid">
        <fgColor rgb="FFFFF8E1"/>
      </patternFill>
    </fill>
    <fill>
      <patternFill patternType="solid">
        <fgColor rgb="FFFFD2D2"/>
      </patternFill>
    </fill>
    <fill>
      <patternFill patternType="solid">
        <fgColor rgb="FF8E1B1B"/>
      </patternFill>
    </fill>
    <fill>
      <patternFill patternType="solid">
        <fgColor rgb="FF00695C"/>
      </patternFill>
    </fill>
  </fills>
  <borders count="8">
    <border>
      <left/>
      <right/>
      <top/>
      <bottom/>
      <diagonal/>
    </border>
    <border>
      <left style="thin">
        <color rgb="FFD6E4F0"/>
      </left>
      <right style="thin">
        <color rgb="FFD6E4F0"/>
      </right>
      <top style="thin">
        <color rgb="FFD6E4F0"/>
      </top>
      <bottom style="thin">
        <color rgb="FFD6E4F0"/>
      </bottom>
      <diagonal/>
    </border>
    <border>
      <left style="thin">
        <color rgb="FFC5D5E8"/>
      </left>
      <right style="thin">
        <color rgb="FFC5D5E8"/>
      </right>
      <top style="thin">
        <color rgb="FFC5D5E8"/>
      </top>
      <bottom style="thin">
        <color rgb="FFC5D5E8"/>
      </bottom>
      <diagonal/>
    </border>
    <border>
      <left/>
      <right/>
      <top style="thin">
        <color rgb="FFC5D5E8"/>
      </top>
      <bottom style="thin">
        <color rgb="FFC5D5E8"/>
      </bottom>
      <diagonal/>
    </border>
    <border>
      <left/>
      <right style="thin">
        <color rgb="FFC5D5E8"/>
      </right>
      <top style="thin">
        <color rgb="FFC5D5E8"/>
      </top>
      <bottom style="thin">
        <color rgb="FFC5D5E8"/>
      </bottom>
      <diagonal/>
    </border>
    <border>
      <left/>
      <right/>
      <top style="thin">
        <color rgb="FFD6E4F0"/>
      </top>
      <bottom style="thin">
        <color rgb="FFD6E4F0"/>
      </bottom>
      <diagonal/>
    </border>
    <border>
      <left/>
      <right style="thin">
        <color rgb="FFD6E4F0"/>
      </right>
      <top style="thin">
        <color rgb="FFD6E4F0"/>
      </top>
      <bottom style="thin">
        <color rgb="FFD6E4F0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0" fillId="5" borderId="2" xfId="0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0" fontId="17" fillId="13" borderId="2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9" fillId="16" borderId="2" xfId="0" applyFont="1" applyFill="1" applyBorder="1" applyAlignment="1">
      <alignment horizontal="center" vertical="center"/>
    </xf>
    <xf numFmtId="0" fontId="20" fillId="16" borderId="2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0" fontId="14" fillId="16" borderId="2" xfId="0" applyFont="1" applyFill="1" applyBorder="1" applyAlignment="1">
      <alignment horizontal="center" vertical="center"/>
    </xf>
    <xf numFmtId="0" fontId="21" fillId="17" borderId="2" xfId="0" applyFont="1" applyFill="1" applyBorder="1" applyAlignment="1">
      <alignment horizontal="center" vertical="center"/>
    </xf>
    <xf numFmtId="0" fontId="20" fillId="17" borderId="2" xfId="0" applyFont="1" applyFill="1" applyBorder="1" applyAlignment="1">
      <alignment horizontal="center" vertical="center"/>
    </xf>
    <xf numFmtId="0" fontId="11" fillId="17" borderId="2" xfId="0" applyFont="1" applyFill="1" applyBorder="1" applyAlignment="1">
      <alignment horizontal="center" vertical="center"/>
    </xf>
    <xf numFmtId="0" fontId="14" fillId="17" borderId="2" xfId="0" applyFont="1" applyFill="1" applyBorder="1" applyAlignment="1">
      <alignment horizontal="center" vertical="center"/>
    </xf>
    <xf numFmtId="0" fontId="22" fillId="18" borderId="2" xfId="0" applyFont="1" applyFill="1" applyBorder="1" applyAlignment="1">
      <alignment horizontal="center" vertical="center"/>
    </xf>
    <xf numFmtId="0" fontId="20" fillId="18" borderId="2" xfId="0" applyFont="1" applyFill="1" applyBorder="1" applyAlignment="1">
      <alignment horizontal="center" vertical="center"/>
    </xf>
    <xf numFmtId="0" fontId="11" fillId="18" borderId="2" xfId="0" applyFont="1" applyFill="1" applyBorder="1" applyAlignment="1">
      <alignment horizontal="center" vertical="center"/>
    </xf>
    <xf numFmtId="0" fontId="14" fillId="18" borderId="2" xfId="0" applyFont="1" applyFill="1" applyBorder="1" applyAlignment="1">
      <alignment horizontal="center" vertical="center"/>
    </xf>
    <xf numFmtId="0" fontId="23" fillId="19" borderId="2" xfId="0" applyFont="1" applyFill="1" applyBorder="1" applyAlignment="1">
      <alignment horizontal="center" vertical="center"/>
    </xf>
    <xf numFmtId="0" fontId="20" fillId="19" borderId="2" xfId="0" applyFont="1" applyFill="1" applyBorder="1" applyAlignment="1">
      <alignment horizontal="center" vertical="center"/>
    </xf>
    <xf numFmtId="0" fontId="11" fillId="19" borderId="2" xfId="0" applyFont="1" applyFill="1" applyBorder="1" applyAlignment="1">
      <alignment horizontal="center" vertical="center"/>
    </xf>
    <xf numFmtId="0" fontId="14" fillId="19" borderId="2" xfId="0" applyFont="1" applyFill="1" applyBorder="1" applyAlignment="1">
      <alignment horizontal="center" vertical="center"/>
    </xf>
    <xf numFmtId="0" fontId="24" fillId="20" borderId="2" xfId="0" applyFont="1" applyFill="1" applyBorder="1" applyAlignment="1">
      <alignment horizontal="center" vertical="center"/>
    </xf>
    <xf numFmtId="0" fontId="20" fillId="20" borderId="2" xfId="0" applyFont="1" applyFill="1" applyBorder="1" applyAlignment="1">
      <alignment horizontal="center" vertical="center"/>
    </xf>
    <xf numFmtId="0" fontId="11" fillId="20" borderId="2" xfId="0" applyFont="1" applyFill="1" applyBorder="1" applyAlignment="1">
      <alignment horizontal="center" vertical="center"/>
    </xf>
    <xf numFmtId="0" fontId="14" fillId="20" borderId="2" xfId="0" applyFont="1" applyFill="1" applyBorder="1" applyAlignment="1">
      <alignment horizontal="center" vertical="center"/>
    </xf>
    <xf numFmtId="0" fontId="25" fillId="21" borderId="2" xfId="0" applyFont="1" applyFill="1" applyBorder="1" applyAlignment="1">
      <alignment horizontal="center" vertical="center"/>
    </xf>
    <xf numFmtId="0" fontId="20" fillId="21" borderId="2" xfId="0" applyFont="1" applyFill="1" applyBorder="1" applyAlignment="1">
      <alignment horizontal="center" vertical="center"/>
    </xf>
    <xf numFmtId="0" fontId="11" fillId="21" borderId="2" xfId="0" applyFont="1" applyFill="1" applyBorder="1" applyAlignment="1">
      <alignment horizontal="center" vertical="center"/>
    </xf>
    <xf numFmtId="0" fontId="14" fillId="21" borderId="2" xfId="0" applyFont="1" applyFill="1" applyBorder="1" applyAlignment="1">
      <alignment horizontal="center" vertical="center"/>
    </xf>
    <xf numFmtId="0" fontId="26" fillId="22" borderId="2" xfId="0" applyFont="1" applyFill="1" applyBorder="1" applyAlignment="1">
      <alignment horizontal="center" vertical="center"/>
    </xf>
    <xf numFmtId="0" fontId="27" fillId="22" borderId="2" xfId="0" applyFont="1" applyFill="1" applyBorder="1" applyAlignment="1">
      <alignment horizontal="center" vertical="center"/>
    </xf>
    <xf numFmtId="0" fontId="26" fillId="23" borderId="2" xfId="0" applyFont="1" applyFill="1" applyBorder="1" applyAlignment="1">
      <alignment horizontal="center" vertical="center"/>
    </xf>
    <xf numFmtId="0" fontId="27" fillId="23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4" borderId="2" xfId="0" applyFont="1" applyFill="1" applyBorder="1" applyAlignment="1">
      <alignment horizontal="center" vertical="center"/>
    </xf>
    <xf numFmtId="0" fontId="10" fillId="25" borderId="2" xfId="0" applyFont="1" applyFill="1" applyBorder="1" applyAlignment="1">
      <alignment horizontal="center" vertical="center"/>
    </xf>
    <xf numFmtId="0" fontId="10" fillId="26" borderId="2" xfId="0" applyFont="1" applyFill="1" applyBorder="1" applyAlignment="1">
      <alignment horizontal="center" vertical="center"/>
    </xf>
    <xf numFmtId="0" fontId="10" fillId="27" borderId="2" xfId="0" applyFont="1" applyFill="1" applyBorder="1" applyAlignment="1">
      <alignment horizontal="center" vertical="center"/>
    </xf>
    <xf numFmtId="0" fontId="10" fillId="28" borderId="2" xfId="0" applyFont="1" applyFill="1" applyBorder="1" applyAlignment="1">
      <alignment horizontal="center" vertical="center"/>
    </xf>
    <xf numFmtId="0" fontId="10" fillId="29" borderId="2" xfId="0" applyFont="1" applyFill="1" applyBorder="1" applyAlignment="1">
      <alignment horizontal="center" vertical="center"/>
    </xf>
    <xf numFmtId="0" fontId="29" fillId="30" borderId="2" xfId="0" applyFont="1" applyFill="1" applyBorder="1" applyAlignment="1">
      <alignment horizontal="center" vertical="center"/>
    </xf>
    <xf numFmtId="0" fontId="29" fillId="31" borderId="2" xfId="0" applyFont="1" applyFill="1" applyBorder="1" applyAlignment="1">
      <alignment horizontal="center" vertical="center"/>
    </xf>
    <xf numFmtId="0" fontId="29" fillId="32" borderId="2" xfId="0" applyFont="1" applyFill="1" applyBorder="1" applyAlignment="1">
      <alignment horizontal="center" vertical="center"/>
    </xf>
    <xf numFmtId="0" fontId="29" fillId="33" borderId="2" xfId="0" applyFont="1" applyFill="1" applyBorder="1" applyAlignment="1">
      <alignment horizontal="center" vertical="center"/>
    </xf>
    <xf numFmtId="0" fontId="30" fillId="34" borderId="2" xfId="0" applyFont="1" applyFill="1" applyBorder="1" applyAlignment="1">
      <alignment horizontal="center" vertical="center"/>
    </xf>
    <xf numFmtId="0" fontId="29" fillId="35" borderId="2" xfId="0" applyFont="1" applyFill="1" applyBorder="1" applyAlignment="1">
      <alignment horizontal="center" vertical="center"/>
    </xf>
    <xf numFmtId="0" fontId="29" fillId="36" borderId="2" xfId="0" applyFont="1" applyFill="1" applyBorder="1" applyAlignment="1">
      <alignment horizontal="center" vertical="center"/>
    </xf>
    <xf numFmtId="0" fontId="30" fillId="8" borderId="2" xfId="0" applyFont="1" applyFill="1" applyBorder="1" applyAlignment="1">
      <alignment horizontal="center" vertical="center"/>
    </xf>
    <xf numFmtId="0" fontId="29" fillId="37" borderId="2" xfId="0" applyFont="1" applyFill="1" applyBorder="1" applyAlignment="1">
      <alignment horizontal="center" vertical="center"/>
    </xf>
    <xf numFmtId="0" fontId="29" fillId="38" borderId="2" xfId="0" applyFont="1" applyFill="1" applyBorder="1" applyAlignment="1">
      <alignment horizontal="center" vertical="center"/>
    </xf>
    <xf numFmtId="0" fontId="29" fillId="39" borderId="2" xfId="0" applyFont="1" applyFill="1" applyBorder="1" applyAlignment="1">
      <alignment horizontal="center" vertical="center"/>
    </xf>
    <xf numFmtId="0" fontId="29" fillId="40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center" vertical="center"/>
    </xf>
    <xf numFmtId="0" fontId="31" fillId="16" borderId="2" xfId="0" applyFont="1" applyFill="1" applyBorder="1" applyAlignment="1">
      <alignment horizontal="center" vertical="center"/>
    </xf>
    <xf numFmtId="0" fontId="32" fillId="16" borderId="2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31" fillId="17" borderId="2" xfId="0" applyFont="1" applyFill="1" applyBorder="1" applyAlignment="1">
      <alignment horizontal="center" vertical="center"/>
    </xf>
    <xf numFmtId="0" fontId="32" fillId="17" borderId="2" xfId="0" applyFont="1" applyFill="1" applyBorder="1" applyAlignment="1">
      <alignment horizontal="center" vertical="center"/>
    </xf>
    <xf numFmtId="0" fontId="15" fillId="18" borderId="2" xfId="0" applyFont="1" applyFill="1" applyBorder="1" applyAlignment="1">
      <alignment horizontal="center" vertical="center"/>
    </xf>
    <xf numFmtId="0" fontId="31" fillId="18" borderId="2" xfId="0" applyFont="1" applyFill="1" applyBorder="1" applyAlignment="1">
      <alignment horizontal="center" vertical="center"/>
    </xf>
    <xf numFmtId="0" fontId="32" fillId="18" borderId="2" xfId="0" applyFont="1" applyFill="1" applyBorder="1" applyAlignment="1">
      <alignment horizontal="center" vertical="center"/>
    </xf>
    <xf numFmtId="0" fontId="15" fillId="19" borderId="2" xfId="0" applyFont="1" applyFill="1" applyBorder="1" applyAlignment="1">
      <alignment horizontal="center" vertical="center"/>
    </xf>
    <xf numFmtId="0" fontId="31" fillId="19" borderId="2" xfId="0" applyFont="1" applyFill="1" applyBorder="1" applyAlignment="1">
      <alignment horizontal="center" vertical="center"/>
    </xf>
    <xf numFmtId="0" fontId="32" fillId="19" borderId="2" xfId="0" applyFont="1" applyFill="1" applyBorder="1" applyAlignment="1">
      <alignment horizontal="center" vertical="center"/>
    </xf>
    <xf numFmtId="0" fontId="15" fillId="20" borderId="2" xfId="0" applyFont="1" applyFill="1" applyBorder="1" applyAlignment="1">
      <alignment horizontal="center" vertical="center"/>
    </xf>
    <xf numFmtId="0" fontId="31" fillId="20" borderId="2" xfId="0" applyFont="1" applyFill="1" applyBorder="1" applyAlignment="1">
      <alignment horizontal="center" vertical="center"/>
    </xf>
    <xf numFmtId="0" fontId="32" fillId="20" borderId="2" xfId="0" applyFont="1" applyFill="1" applyBorder="1" applyAlignment="1">
      <alignment horizontal="center" vertical="center"/>
    </xf>
    <xf numFmtId="0" fontId="15" fillId="21" borderId="2" xfId="0" applyFont="1" applyFill="1" applyBorder="1" applyAlignment="1">
      <alignment horizontal="center" vertical="center"/>
    </xf>
    <xf numFmtId="0" fontId="31" fillId="21" borderId="2" xfId="0" applyFont="1" applyFill="1" applyBorder="1" applyAlignment="1">
      <alignment horizontal="center" vertical="center"/>
    </xf>
    <xf numFmtId="0" fontId="32" fillId="21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18" fillId="16" borderId="2" xfId="0" applyFont="1" applyFill="1" applyBorder="1" applyAlignment="1">
      <alignment horizontal="center" vertical="center"/>
    </xf>
    <xf numFmtId="0" fontId="20" fillId="15" borderId="2" xfId="0" applyFont="1" applyFill="1" applyBorder="1" applyAlignment="1">
      <alignment horizontal="center" vertical="center"/>
    </xf>
    <xf numFmtId="0" fontId="12" fillId="17" borderId="2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12" fillId="18" borderId="2" xfId="0" applyFont="1" applyFill="1" applyBorder="1" applyAlignment="1">
      <alignment horizontal="center" vertical="center"/>
    </xf>
    <xf numFmtId="0" fontId="16" fillId="18" borderId="2" xfId="0" applyFont="1" applyFill="1" applyBorder="1" applyAlignment="1">
      <alignment horizontal="center" vertical="center"/>
    </xf>
    <xf numFmtId="0" fontId="15" fillId="41" borderId="2" xfId="0" applyFont="1" applyFill="1" applyBorder="1" applyAlignment="1">
      <alignment horizontal="center" vertical="center"/>
    </xf>
    <xf numFmtId="0" fontId="20" fillId="41" borderId="2" xfId="0" applyFont="1" applyFill="1" applyBorder="1" applyAlignment="1">
      <alignment horizontal="center" vertical="center"/>
    </xf>
    <xf numFmtId="0" fontId="11" fillId="41" borderId="2" xfId="0" applyFont="1" applyFill="1" applyBorder="1" applyAlignment="1">
      <alignment horizontal="center" vertical="center"/>
    </xf>
    <xf numFmtId="0" fontId="14" fillId="41" borderId="2" xfId="0" applyFont="1" applyFill="1" applyBorder="1" applyAlignment="1">
      <alignment horizontal="center" vertical="center"/>
    </xf>
    <xf numFmtId="0" fontId="37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9" fillId="2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2" fillId="6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3" borderId="0" xfId="0" applyFill="1"/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7" fillId="6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10" borderId="1" xfId="0" applyFill="1" applyBorder="1"/>
    <xf numFmtId="0" fontId="0" fillId="4" borderId="0" xfId="0" applyFill="1"/>
    <xf numFmtId="0" fontId="0" fillId="8" borderId="1" xfId="0" applyFill="1" applyBorder="1"/>
    <xf numFmtId="0" fontId="0" fillId="7" borderId="1" xfId="0" applyFill="1" applyBorder="1"/>
    <xf numFmtId="0" fontId="6" fillId="6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14" borderId="0" xfId="0" applyFont="1" applyFill="1" applyAlignment="1">
      <alignment horizontal="center" vertical="center"/>
    </xf>
    <xf numFmtId="0" fontId="33" fillId="6" borderId="1" xfId="0" applyFont="1" applyFill="1" applyBorder="1" applyAlignment="1">
      <alignment horizontal="center" vertical="center"/>
    </xf>
    <xf numFmtId="0" fontId="0" fillId="14" borderId="1" xfId="0" applyFill="1" applyBorder="1"/>
    <xf numFmtId="0" fontId="38" fillId="42" borderId="7" xfId="0" applyFont="1" applyFill="1" applyBorder="1" applyAlignment="1">
      <alignment horizontal="left" vertical="center" wrapText="1"/>
    </xf>
    <xf numFmtId="0" fontId="38" fillId="16" borderId="7" xfId="0" applyFont="1" applyFill="1" applyBorder="1" applyAlignment="1">
      <alignment horizontal="left" vertical="center" wrapText="1"/>
    </xf>
    <xf numFmtId="0" fontId="39" fillId="16" borderId="7" xfId="0" applyFont="1" applyFill="1" applyBorder="1" applyAlignment="1">
      <alignment horizontal="center" vertical="center" wrapText="1"/>
    </xf>
    <xf numFmtId="0" fontId="34" fillId="2" borderId="7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left" vertical="center" wrapText="1"/>
    </xf>
    <xf numFmtId="0" fontId="36" fillId="42" borderId="7" xfId="0" applyFont="1" applyFill="1" applyBorder="1" applyAlignment="1">
      <alignment horizontal="center" vertical="center" wrapText="1"/>
    </xf>
    <xf numFmtId="0" fontId="38" fillId="17" borderId="7" xfId="0" applyFont="1" applyFill="1" applyBorder="1" applyAlignment="1">
      <alignment horizontal="left" vertical="center" wrapText="1"/>
    </xf>
    <xf numFmtId="0" fontId="40" fillId="17" borderId="7" xfId="0" applyFont="1" applyFill="1" applyBorder="1" applyAlignment="1">
      <alignment horizontal="center" vertical="center" wrapText="1"/>
    </xf>
    <xf numFmtId="0" fontId="35" fillId="15" borderId="7" xfId="0" applyFont="1" applyFill="1" applyBorder="1" applyAlignment="1">
      <alignment horizontal="left" vertical="center" wrapText="1"/>
    </xf>
    <xf numFmtId="0" fontId="9" fillId="27" borderId="7" xfId="0" applyFont="1" applyFill="1" applyBorder="1" applyAlignment="1">
      <alignment horizontal="left" vertical="center" wrapText="1"/>
    </xf>
    <xf numFmtId="0" fontId="9" fillId="9" borderId="7" xfId="0" applyFont="1" applyFill="1" applyBorder="1" applyAlignment="1">
      <alignment horizontal="left" vertical="center" wrapText="1"/>
    </xf>
    <xf numFmtId="0" fontId="9" fillId="44" borderId="7" xfId="0" applyFont="1" applyFill="1" applyBorder="1" applyAlignment="1">
      <alignment horizontal="left" vertical="center" wrapText="1"/>
    </xf>
    <xf numFmtId="0" fontId="0" fillId="5" borderId="0" xfId="0" applyFill="1"/>
    <xf numFmtId="0" fontId="9" fillId="43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Request Status Share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6027777777777777"/>
          <c:y val="8.8958333333333334E-2"/>
          <c:w val="0.69456349206349211"/>
          <c:h val="0.81032407407407403"/>
        </c:manualLayout>
      </c:layout>
      <c:pieChart>
        <c:varyColors val="1"/>
        <c:ser>
          <c:idx val="0"/>
          <c:order val="0"/>
          <c:tx>
            <c:strRef>
              <c:f>'📊 Executive Overview'!$S$10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7AE6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FDE-4D68-A418-2AFBE6363A48}"/>
              </c:ext>
            </c:extLst>
          </c:dPt>
          <c:dPt>
            <c:idx val="1"/>
            <c:bubble3D val="0"/>
            <c:spPr>
              <a:solidFill>
                <a:srgbClr val="E67E2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FDE-4D68-A418-2AFBE6363A48}"/>
              </c:ext>
            </c:extLst>
          </c:dPt>
          <c:dPt>
            <c:idx val="2"/>
            <c:bubble3D val="0"/>
            <c:spPr>
              <a:solidFill>
                <a:srgbClr val="C0392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FDE-4D68-A418-2AFBE6363A4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'📊 Executive Overview'!$R$11:$R$13</c:f>
              <c:strCache>
                <c:ptCount val="3"/>
                <c:pt idx="0">
                  <c:v>Trip Completed</c:v>
                </c:pt>
                <c:pt idx="1">
                  <c:v>No Cars Available</c:v>
                </c:pt>
                <c:pt idx="2">
                  <c:v>Cancelled</c:v>
                </c:pt>
              </c:strCache>
            </c:strRef>
          </c:cat>
          <c:val>
            <c:numRef>
              <c:f>'📊 Executive Overview'!$S$11:$S$13</c:f>
              <c:numCache>
                <c:formatCode>General</c:formatCode>
                <c:ptCount val="3"/>
                <c:pt idx="0">
                  <c:v>2831</c:v>
                </c:pt>
                <c:pt idx="1">
                  <c:v>2650</c:v>
                </c:pt>
                <c:pt idx="2">
                  <c:v>1264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DE-4D68-A418-2AFBE6363A4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Status by Pickup Point</a:t>
            </a:r>
          </a:p>
        </c:rich>
      </c:tx>
      <c:layout>
        <c:manualLayout>
          <c:xMode val="edge"/>
          <c:yMode val="edge"/>
          <c:x val="0.41395357142857137"/>
          <c:y val="1.469907407407407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"/>
          <c:y val="6.4675925925925928E-2"/>
          <c:w val="0.94456349206349211"/>
          <c:h val="0.9353240740740740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'📊 Executive Overview'!$V$10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27AE60"/>
            </a:solidFill>
            <a:ln>
              <a:prstDash val="solid"/>
            </a:ln>
          </c:spPr>
          <c:invertIfNegative val="1"/>
          <c:cat>
            <c:strRef>
              <c:f>'📊 Executive Overview'!$U$11:$U$12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'📊 Executive Overview'!$V$11:$V$12</c:f>
              <c:numCache>
                <c:formatCode>General</c:formatCode>
                <c:ptCount val="2"/>
                <c:pt idx="0">
                  <c:v>1327</c:v>
                </c:pt>
                <c:pt idx="1">
                  <c:v>1504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29E-41C4-8E38-C389C75EDF57}"/>
            </c:ext>
          </c:extLst>
        </c:ser>
        <c:ser>
          <c:idx val="1"/>
          <c:order val="1"/>
          <c:tx>
            <c:strRef>
              <c:f>'📊 Executive Overview'!$W$10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C0392B"/>
            </a:solidFill>
            <a:ln>
              <a:prstDash val="solid"/>
            </a:ln>
          </c:spPr>
          <c:invertIfNegative val="1"/>
          <c:cat>
            <c:strRef>
              <c:f>'📊 Executive Overview'!$U$11:$U$12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'📊 Executive Overview'!$W$11:$W$12</c:f>
              <c:numCache>
                <c:formatCode>General</c:formatCode>
                <c:ptCount val="2"/>
                <c:pt idx="0">
                  <c:v>198</c:v>
                </c:pt>
                <c:pt idx="1">
                  <c:v>1066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29E-41C4-8E38-C389C75EDF57}"/>
            </c:ext>
          </c:extLst>
        </c:ser>
        <c:ser>
          <c:idx val="2"/>
          <c:order val="2"/>
          <c:tx>
            <c:strRef>
              <c:f>'📊 Executive Overview'!$X$10</c:f>
              <c:strCache>
                <c:ptCount val="1"/>
                <c:pt idx="0">
                  <c:v>No Cars</c:v>
                </c:pt>
              </c:strCache>
            </c:strRef>
          </c:tx>
          <c:spPr>
            <a:solidFill>
              <a:srgbClr val="E67E22"/>
            </a:solidFill>
            <a:ln>
              <a:prstDash val="solid"/>
            </a:ln>
          </c:spPr>
          <c:invertIfNegative val="1"/>
          <c:cat>
            <c:strRef>
              <c:f>'📊 Executive Overview'!$U$11:$U$12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'📊 Executive Overview'!$X$11:$X$12</c:f>
              <c:numCache>
                <c:formatCode>General</c:formatCode>
                <c:ptCount val="2"/>
                <c:pt idx="0">
                  <c:v>1713</c:v>
                </c:pt>
                <c:pt idx="1">
                  <c:v>937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29E-41C4-8E38-C389C75ED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Requests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Supply-Demand Gap by Time Slot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9242424242424241E-2"/>
          <c:y val="5.9700854700854698E-2"/>
          <c:w val="0.96472222222222226"/>
          <c:h val="0.94029914529914527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'📊 Executive Overview'!$T$17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27AE60"/>
            </a:solidFill>
            <a:ln>
              <a:prstDash val="solid"/>
            </a:ln>
          </c:spPr>
          <c:invertIfNegative val="1"/>
          <c:cat>
            <c:strRef>
              <c:f>'📊 Executive Overview'!$R$18:$R$23</c:f>
              <c:strCache>
                <c:ptCount val="6"/>
                <c:pt idx="0">
                  <c:v>Early Morning</c:v>
                </c:pt>
                <c:pt idx="1">
                  <c:v>Morning</c:v>
                </c:pt>
                <c:pt idx="2">
                  <c:v>Afternoon</c:v>
                </c:pt>
                <c:pt idx="3">
                  <c:v>Evening</c:v>
                </c:pt>
                <c:pt idx="4">
                  <c:v>Late Night</c:v>
                </c:pt>
                <c:pt idx="5">
                  <c:v>Night</c:v>
                </c:pt>
              </c:strCache>
            </c:strRef>
          </c:cat>
          <c:val>
            <c:numRef>
              <c:f>'📊 Executive Overview'!$T$18:$T$23</c:f>
              <c:numCache>
                <c:formatCode>General</c:formatCode>
                <c:ptCount val="6"/>
                <c:pt idx="0">
                  <c:v>214</c:v>
                </c:pt>
                <c:pt idx="1">
                  <c:v>854</c:v>
                </c:pt>
                <c:pt idx="2">
                  <c:v>441</c:v>
                </c:pt>
                <c:pt idx="3">
                  <c:v>432</c:v>
                </c:pt>
                <c:pt idx="4">
                  <c:v>491</c:v>
                </c:pt>
                <c:pt idx="5">
                  <c:v>399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AA9-49BF-84F7-989AF860986A}"/>
            </c:ext>
          </c:extLst>
        </c:ser>
        <c:ser>
          <c:idx val="1"/>
          <c:order val="1"/>
          <c:tx>
            <c:strRef>
              <c:f>'📊 Executive Overview'!$S$17</c:f>
              <c:strCache>
                <c:ptCount val="1"/>
                <c:pt idx="0">
                  <c:v>Unfulfilled</c:v>
                </c:pt>
              </c:strCache>
            </c:strRef>
          </c:tx>
          <c:spPr>
            <a:solidFill>
              <a:srgbClr val="C0392B"/>
            </a:solidFill>
            <a:ln>
              <a:prstDash val="solid"/>
            </a:ln>
          </c:spPr>
          <c:invertIfNegative val="1"/>
          <c:cat>
            <c:strRef>
              <c:f>'📊 Executive Overview'!$R$18:$R$23</c:f>
              <c:strCache>
                <c:ptCount val="6"/>
                <c:pt idx="0">
                  <c:v>Early Morning</c:v>
                </c:pt>
                <c:pt idx="1">
                  <c:v>Morning</c:v>
                </c:pt>
                <c:pt idx="2">
                  <c:v>Afternoon</c:v>
                </c:pt>
                <c:pt idx="3">
                  <c:v>Evening</c:v>
                </c:pt>
                <c:pt idx="4">
                  <c:v>Late Night</c:v>
                </c:pt>
                <c:pt idx="5">
                  <c:v>Night</c:v>
                </c:pt>
              </c:strCache>
            </c:strRef>
          </c:cat>
          <c:val>
            <c:numRef>
              <c:f>'📊 Executive Overview'!$S$18:$S$23</c:f>
              <c:numCache>
                <c:formatCode>General</c:formatCode>
                <c:ptCount val="6"/>
                <c:pt idx="0">
                  <c:v>364</c:v>
                </c:pt>
                <c:pt idx="1">
                  <c:v>1249</c:v>
                </c:pt>
                <c:pt idx="2">
                  <c:v>317</c:v>
                </c:pt>
                <c:pt idx="3">
                  <c:v>452</c:v>
                </c:pt>
                <c:pt idx="4">
                  <c:v>984</c:v>
                </c:pt>
                <c:pt idx="5">
                  <c:v>548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AA9-49BF-84F7-989AF8609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Requests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Hourly Demand: Completed vs Cancelled vs No Cars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'⏰ Hourly Operations'!$T$10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27AE60"/>
            </a:solidFill>
            <a:ln>
              <a:prstDash val="solid"/>
            </a:ln>
          </c:spPr>
          <c:invertIfNegative val="1"/>
          <c:cat>
            <c:strRef>
              <c:f>'⏰ Hourly Operations'!$R$11:$R$34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'⏰ Hourly Operations'!$T$11:$T$34</c:f>
              <c:numCache>
                <c:formatCode>General</c:formatCode>
                <c:ptCount val="24"/>
                <c:pt idx="0">
                  <c:v>40</c:v>
                </c:pt>
                <c:pt idx="1">
                  <c:v>25</c:v>
                </c:pt>
                <c:pt idx="2">
                  <c:v>37</c:v>
                </c:pt>
                <c:pt idx="3">
                  <c:v>34</c:v>
                </c:pt>
                <c:pt idx="4">
                  <c:v>78</c:v>
                </c:pt>
                <c:pt idx="5">
                  <c:v>185</c:v>
                </c:pt>
                <c:pt idx="6">
                  <c:v>167</c:v>
                </c:pt>
                <c:pt idx="7">
                  <c:v>174</c:v>
                </c:pt>
                <c:pt idx="8">
                  <c:v>155</c:v>
                </c:pt>
                <c:pt idx="9">
                  <c:v>173</c:v>
                </c:pt>
                <c:pt idx="10">
                  <c:v>116</c:v>
                </c:pt>
                <c:pt idx="11">
                  <c:v>115</c:v>
                </c:pt>
                <c:pt idx="12">
                  <c:v>121</c:v>
                </c:pt>
                <c:pt idx="13">
                  <c:v>89</c:v>
                </c:pt>
                <c:pt idx="14">
                  <c:v>88</c:v>
                </c:pt>
                <c:pt idx="15">
                  <c:v>102</c:v>
                </c:pt>
                <c:pt idx="16">
                  <c:v>91</c:v>
                </c:pt>
                <c:pt idx="17">
                  <c:v>151</c:v>
                </c:pt>
                <c:pt idx="18">
                  <c:v>164</c:v>
                </c:pt>
                <c:pt idx="19">
                  <c:v>166</c:v>
                </c:pt>
                <c:pt idx="20">
                  <c:v>161</c:v>
                </c:pt>
                <c:pt idx="21">
                  <c:v>142</c:v>
                </c:pt>
                <c:pt idx="22">
                  <c:v>154</c:v>
                </c:pt>
                <c:pt idx="23">
                  <c:v>103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771-42C7-9601-56632E0B1F5F}"/>
            </c:ext>
          </c:extLst>
        </c:ser>
        <c:ser>
          <c:idx val="1"/>
          <c:order val="1"/>
          <c:tx>
            <c:strRef>
              <c:f>'⏰ Hourly Operations'!$U$10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E67E22"/>
            </a:solidFill>
            <a:ln>
              <a:prstDash val="solid"/>
            </a:ln>
          </c:spPr>
          <c:invertIfNegative val="1"/>
          <c:cat>
            <c:strRef>
              <c:f>'⏰ Hourly Operations'!$R$11:$R$34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'⏰ Hourly Operations'!$U$11:$U$34</c:f>
              <c:numCache>
                <c:formatCode>General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2</c:v>
                </c:pt>
                <c:pt idx="4">
                  <c:v>51</c:v>
                </c:pt>
                <c:pt idx="5">
                  <c:v>176</c:v>
                </c:pt>
                <c:pt idx="6">
                  <c:v>145</c:v>
                </c:pt>
                <c:pt idx="7">
                  <c:v>169</c:v>
                </c:pt>
                <c:pt idx="8">
                  <c:v>178</c:v>
                </c:pt>
                <c:pt idx="9">
                  <c:v>175</c:v>
                </c:pt>
                <c:pt idx="10">
                  <c:v>62</c:v>
                </c:pt>
                <c:pt idx="11">
                  <c:v>15</c:v>
                </c:pt>
                <c:pt idx="12">
                  <c:v>19</c:v>
                </c:pt>
                <c:pt idx="13">
                  <c:v>18</c:v>
                </c:pt>
                <c:pt idx="14">
                  <c:v>11</c:v>
                </c:pt>
                <c:pt idx="15">
                  <c:v>21</c:v>
                </c:pt>
                <c:pt idx="16">
                  <c:v>22</c:v>
                </c:pt>
                <c:pt idx="17">
                  <c:v>35</c:v>
                </c:pt>
                <c:pt idx="18">
                  <c:v>24</c:v>
                </c:pt>
                <c:pt idx="19">
                  <c:v>24</c:v>
                </c:pt>
                <c:pt idx="20">
                  <c:v>41</c:v>
                </c:pt>
                <c:pt idx="21">
                  <c:v>42</c:v>
                </c:pt>
                <c:pt idx="22">
                  <c:v>12</c:v>
                </c:pt>
                <c:pt idx="23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771-42C7-9601-56632E0B1F5F}"/>
            </c:ext>
          </c:extLst>
        </c:ser>
        <c:ser>
          <c:idx val="2"/>
          <c:order val="2"/>
          <c:tx>
            <c:strRef>
              <c:f>'⏰ Hourly Operations'!$V$10</c:f>
              <c:strCache>
                <c:ptCount val="1"/>
                <c:pt idx="0">
                  <c:v>NoCars</c:v>
                </c:pt>
              </c:strCache>
            </c:strRef>
          </c:tx>
          <c:spPr>
            <a:solidFill>
              <a:srgbClr val="C0392B"/>
            </a:solidFill>
            <a:ln>
              <a:prstDash val="solid"/>
            </a:ln>
          </c:spPr>
          <c:invertIfNegative val="1"/>
          <c:cat>
            <c:strRef>
              <c:f>'⏰ Hourly Operations'!$R$11:$R$34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'⏰ Hourly Operations'!$V$11:$V$34</c:f>
              <c:numCache>
                <c:formatCode>General</c:formatCode>
                <c:ptCount val="24"/>
                <c:pt idx="0">
                  <c:v>56</c:v>
                </c:pt>
                <c:pt idx="1">
                  <c:v>56</c:v>
                </c:pt>
                <c:pt idx="2">
                  <c:v>57</c:v>
                </c:pt>
                <c:pt idx="3">
                  <c:v>56</c:v>
                </c:pt>
                <c:pt idx="4">
                  <c:v>74</c:v>
                </c:pt>
                <c:pt idx="5">
                  <c:v>84</c:v>
                </c:pt>
                <c:pt idx="6">
                  <c:v>86</c:v>
                </c:pt>
                <c:pt idx="7">
                  <c:v>63</c:v>
                </c:pt>
                <c:pt idx="8">
                  <c:v>90</c:v>
                </c:pt>
                <c:pt idx="9">
                  <c:v>83</c:v>
                </c:pt>
                <c:pt idx="10">
                  <c:v>65</c:v>
                </c:pt>
                <c:pt idx="11">
                  <c:v>41</c:v>
                </c:pt>
                <c:pt idx="12">
                  <c:v>44</c:v>
                </c:pt>
                <c:pt idx="13">
                  <c:v>53</c:v>
                </c:pt>
                <c:pt idx="14">
                  <c:v>37</c:v>
                </c:pt>
                <c:pt idx="15">
                  <c:v>48</c:v>
                </c:pt>
                <c:pt idx="16">
                  <c:v>46</c:v>
                </c:pt>
                <c:pt idx="17">
                  <c:v>232</c:v>
                </c:pt>
                <c:pt idx="18">
                  <c:v>322</c:v>
                </c:pt>
                <c:pt idx="19">
                  <c:v>283</c:v>
                </c:pt>
                <c:pt idx="20">
                  <c:v>290</c:v>
                </c:pt>
                <c:pt idx="21">
                  <c:v>265</c:v>
                </c:pt>
                <c:pt idx="22">
                  <c:v>138</c:v>
                </c:pt>
                <c:pt idx="23">
                  <c:v>81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771-42C7-9601-56632E0B1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Requests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Gap Rate (%) by Hour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'⏰ Hourly Operations'!$W$10</c:f>
              <c:strCache>
                <c:ptCount val="1"/>
                <c:pt idx="0">
                  <c:v>Gap_Pct</c:v>
                </c:pt>
              </c:strCache>
            </c:strRef>
          </c:tx>
          <c:spPr>
            <a:ln w="20000">
              <a:solidFill>
                <a:srgbClr val="C0392B"/>
              </a:solidFill>
              <a:prstDash val="solid"/>
            </a:ln>
          </c:spPr>
          <c:marker>
            <c:symbol val="none"/>
          </c:marker>
          <c:cat>
            <c:strRef>
              <c:f>'⏰ Hourly Operations'!$R$11:$R$34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'⏰ Hourly Operations'!$W$11:$W$34</c:f>
              <c:numCache>
                <c:formatCode>General</c:formatCode>
                <c:ptCount val="24"/>
                <c:pt idx="0">
                  <c:v>59.6</c:v>
                </c:pt>
                <c:pt idx="1">
                  <c:v>70.599999999999994</c:v>
                </c:pt>
                <c:pt idx="2">
                  <c:v>62.6</c:v>
                </c:pt>
                <c:pt idx="3">
                  <c:v>63</c:v>
                </c:pt>
                <c:pt idx="4">
                  <c:v>61.6</c:v>
                </c:pt>
                <c:pt idx="5">
                  <c:v>58.4</c:v>
                </c:pt>
                <c:pt idx="6">
                  <c:v>58</c:v>
                </c:pt>
                <c:pt idx="7">
                  <c:v>57.1</c:v>
                </c:pt>
                <c:pt idx="8">
                  <c:v>63.4</c:v>
                </c:pt>
                <c:pt idx="9">
                  <c:v>59.9</c:v>
                </c:pt>
                <c:pt idx="10">
                  <c:v>52.3</c:v>
                </c:pt>
                <c:pt idx="11">
                  <c:v>32.700000000000003</c:v>
                </c:pt>
                <c:pt idx="12">
                  <c:v>34.200000000000003</c:v>
                </c:pt>
                <c:pt idx="13">
                  <c:v>44.4</c:v>
                </c:pt>
                <c:pt idx="14">
                  <c:v>35.299999999999997</c:v>
                </c:pt>
                <c:pt idx="15">
                  <c:v>40.4</c:v>
                </c:pt>
                <c:pt idx="16">
                  <c:v>42.8</c:v>
                </c:pt>
                <c:pt idx="17">
                  <c:v>63.9</c:v>
                </c:pt>
                <c:pt idx="18">
                  <c:v>67.8</c:v>
                </c:pt>
                <c:pt idx="19">
                  <c:v>64.900000000000006</c:v>
                </c:pt>
                <c:pt idx="20">
                  <c:v>67.3</c:v>
                </c:pt>
                <c:pt idx="21">
                  <c:v>68.400000000000006</c:v>
                </c:pt>
                <c:pt idx="22">
                  <c:v>49.3</c:v>
                </c:pt>
                <c:pt idx="23">
                  <c:v>46.9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CB-4B2F-8C18-63C6F4E5B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Gap 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Failure Type by Time Slot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'🔴 Supply Gap Analysis'!$S$15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E74C3C"/>
            </a:solidFill>
            <a:ln>
              <a:prstDash val="solid"/>
            </a:ln>
          </c:spPr>
          <c:invertIfNegative val="1"/>
          <c:cat>
            <c:strRef>
              <c:f>'🔴 Supply Gap Analysis'!$R$16:$R$21</c:f>
              <c:strCache>
                <c:ptCount val="6"/>
                <c:pt idx="0">
                  <c:v>Early Morning</c:v>
                </c:pt>
                <c:pt idx="1">
                  <c:v>Morning</c:v>
                </c:pt>
                <c:pt idx="2">
                  <c:v>Afternoon</c:v>
                </c:pt>
                <c:pt idx="3">
                  <c:v>Evening</c:v>
                </c:pt>
                <c:pt idx="4">
                  <c:v>Late Night</c:v>
                </c:pt>
                <c:pt idx="5">
                  <c:v>Night</c:v>
                </c:pt>
              </c:strCache>
            </c:strRef>
          </c:cat>
          <c:val>
            <c:numRef>
              <c:f>'🔴 Supply Gap Analysis'!$S$16:$S$21</c:f>
              <c:numCache>
                <c:formatCode>General</c:formatCode>
                <c:ptCount val="6"/>
                <c:pt idx="0">
                  <c:v>65</c:v>
                </c:pt>
                <c:pt idx="1">
                  <c:v>843</c:v>
                </c:pt>
                <c:pt idx="2">
                  <c:v>114</c:v>
                </c:pt>
                <c:pt idx="3">
                  <c:v>89</c:v>
                </c:pt>
                <c:pt idx="4">
                  <c:v>89</c:v>
                </c:pt>
                <c:pt idx="5">
                  <c:v>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10A-4DDC-B75D-3561132F004A}"/>
            </c:ext>
          </c:extLst>
        </c:ser>
        <c:ser>
          <c:idx val="1"/>
          <c:order val="1"/>
          <c:tx>
            <c:strRef>
              <c:f>'🔴 Supply Gap Analysis'!$T$15</c:f>
              <c:strCache>
                <c:ptCount val="1"/>
                <c:pt idx="0">
                  <c:v>No Cars</c:v>
                </c:pt>
              </c:strCache>
            </c:strRef>
          </c:tx>
          <c:spPr>
            <a:solidFill>
              <a:srgbClr val="E67E22"/>
            </a:solidFill>
            <a:ln>
              <a:prstDash val="solid"/>
            </a:ln>
          </c:spPr>
          <c:invertIfNegative val="1"/>
          <c:cat>
            <c:strRef>
              <c:f>'🔴 Supply Gap Analysis'!$R$16:$R$21</c:f>
              <c:strCache>
                <c:ptCount val="6"/>
                <c:pt idx="0">
                  <c:v>Early Morning</c:v>
                </c:pt>
                <c:pt idx="1">
                  <c:v>Morning</c:v>
                </c:pt>
                <c:pt idx="2">
                  <c:v>Afternoon</c:v>
                </c:pt>
                <c:pt idx="3">
                  <c:v>Evening</c:v>
                </c:pt>
                <c:pt idx="4">
                  <c:v>Late Night</c:v>
                </c:pt>
                <c:pt idx="5">
                  <c:v>Night</c:v>
                </c:pt>
              </c:strCache>
            </c:strRef>
          </c:cat>
          <c:val>
            <c:numRef>
              <c:f>'🔴 Supply Gap Analysis'!$T$16:$T$21</c:f>
              <c:numCache>
                <c:formatCode>General</c:formatCode>
                <c:ptCount val="6"/>
                <c:pt idx="0">
                  <c:v>299</c:v>
                </c:pt>
                <c:pt idx="1">
                  <c:v>406</c:v>
                </c:pt>
                <c:pt idx="2">
                  <c:v>203</c:v>
                </c:pt>
                <c:pt idx="3">
                  <c:v>363</c:v>
                </c:pt>
                <c:pt idx="4">
                  <c:v>895</c:v>
                </c:pt>
                <c:pt idx="5">
                  <c:v>484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10A-4DDC-B75D-3561132F0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Status by Pickup Point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'🔴 Supply Gap Analysis'!$W$15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27AE60"/>
            </a:solidFill>
            <a:ln>
              <a:prstDash val="solid"/>
            </a:ln>
          </c:spPr>
          <c:invertIfNegative val="1"/>
          <c:cat>
            <c:strRef>
              <c:f>'🔴 Supply Gap Analysis'!$V$16:$V$17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'🔴 Supply Gap Analysis'!$W$16:$W$17</c:f>
              <c:numCache>
                <c:formatCode>General</c:formatCode>
                <c:ptCount val="2"/>
                <c:pt idx="0">
                  <c:v>1327</c:v>
                </c:pt>
                <c:pt idx="1">
                  <c:v>1504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7DB-47DD-B343-CFF0D91C1FDA}"/>
            </c:ext>
          </c:extLst>
        </c:ser>
        <c:ser>
          <c:idx val="1"/>
          <c:order val="1"/>
          <c:tx>
            <c:strRef>
              <c:f>'🔴 Supply Gap Analysis'!$X$15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C0392B"/>
            </a:solidFill>
            <a:ln>
              <a:prstDash val="solid"/>
            </a:ln>
          </c:spPr>
          <c:invertIfNegative val="1"/>
          <c:cat>
            <c:strRef>
              <c:f>'🔴 Supply Gap Analysis'!$V$16:$V$17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'🔴 Supply Gap Analysis'!$X$16:$X$17</c:f>
              <c:numCache>
                <c:formatCode>General</c:formatCode>
                <c:ptCount val="2"/>
                <c:pt idx="0">
                  <c:v>198</c:v>
                </c:pt>
                <c:pt idx="1">
                  <c:v>1066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7DB-47DD-B343-CFF0D91C1FDA}"/>
            </c:ext>
          </c:extLst>
        </c:ser>
        <c:ser>
          <c:idx val="2"/>
          <c:order val="2"/>
          <c:tx>
            <c:strRef>
              <c:f>'🔴 Supply Gap Analysis'!$Y$15</c:f>
              <c:strCache>
                <c:ptCount val="1"/>
                <c:pt idx="0">
                  <c:v>No Cars</c:v>
                </c:pt>
              </c:strCache>
            </c:strRef>
          </c:tx>
          <c:spPr>
            <a:solidFill>
              <a:srgbClr val="E67E22"/>
            </a:solidFill>
            <a:ln>
              <a:prstDash val="solid"/>
            </a:ln>
          </c:spPr>
          <c:invertIfNegative val="1"/>
          <c:cat>
            <c:strRef>
              <c:f>'🔴 Supply Gap Analysis'!$V$16:$V$17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'🔴 Supply Gap Analysis'!$Y$16:$Y$17</c:f>
              <c:numCache>
                <c:formatCode>General</c:formatCode>
                <c:ptCount val="2"/>
                <c:pt idx="0">
                  <c:v>1713</c:v>
                </c:pt>
                <c:pt idx="1">
                  <c:v>937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7DB-47DD-B343-CFF0D91C1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Avg Trip Duration by Time Slot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'✅ Trip Performance'!$S$15</c:f>
              <c:strCache>
                <c:ptCount val="1"/>
                <c:pt idx="0">
                  <c:v>Avg_Dur</c:v>
                </c:pt>
              </c:strCache>
            </c:strRef>
          </c:tx>
          <c:spPr>
            <a:solidFill>
              <a:srgbClr val="1A7B6B"/>
            </a:solidFill>
            <a:ln>
              <a:prstDash val="solid"/>
            </a:ln>
          </c:spPr>
          <c:invertIfNegative val="1"/>
          <c:cat>
            <c:strRef>
              <c:f>'✅ Trip Performance'!$R$16:$R$21</c:f>
              <c:strCache>
                <c:ptCount val="6"/>
                <c:pt idx="0">
                  <c:v>Early Morning</c:v>
                </c:pt>
                <c:pt idx="1">
                  <c:v>Morning</c:v>
                </c:pt>
                <c:pt idx="2">
                  <c:v>Afternoon</c:v>
                </c:pt>
                <c:pt idx="3">
                  <c:v>Evening</c:v>
                </c:pt>
                <c:pt idx="4">
                  <c:v>Late Night</c:v>
                </c:pt>
                <c:pt idx="5">
                  <c:v>Night</c:v>
                </c:pt>
              </c:strCache>
            </c:strRef>
          </c:cat>
          <c:val>
            <c:numRef>
              <c:f>'✅ Trip Performance'!$S$16:$S$21</c:f>
              <c:numCache>
                <c:formatCode>General</c:formatCode>
                <c:ptCount val="6"/>
                <c:pt idx="0">
                  <c:v>53.8</c:v>
                </c:pt>
                <c:pt idx="1">
                  <c:v>52.5</c:v>
                </c:pt>
                <c:pt idx="2">
                  <c:v>52.3</c:v>
                </c:pt>
                <c:pt idx="3">
                  <c:v>52.3</c:v>
                </c:pt>
                <c:pt idx="4">
                  <c:v>51.7</c:v>
                </c:pt>
                <c:pt idx="5">
                  <c:v>52.6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F39-4006-A857-F68DEEFC7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Minutes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Completion Rate % by Time Slot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'✅ Trip Performance'!$V$15</c:f>
              <c:strCache>
                <c:ptCount val="1"/>
                <c:pt idx="0">
                  <c:v>Comp%</c:v>
                </c:pt>
              </c:strCache>
            </c:strRef>
          </c:tx>
          <c:spPr>
            <a:solidFill>
              <a:srgbClr val="27AE60"/>
            </a:solidFill>
            <a:ln>
              <a:prstDash val="solid"/>
            </a:ln>
          </c:spPr>
          <c:invertIfNegative val="1"/>
          <c:cat>
            <c:strRef>
              <c:f>'✅ Trip Performance'!$U$16:$U$21</c:f>
              <c:strCache>
                <c:ptCount val="6"/>
                <c:pt idx="0">
                  <c:v>Early Morning</c:v>
                </c:pt>
                <c:pt idx="1">
                  <c:v>Morning</c:v>
                </c:pt>
                <c:pt idx="2">
                  <c:v>Afternoon</c:v>
                </c:pt>
                <c:pt idx="3">
                  <c:v>Evening</c:v>
                </c:pt>
                <c:pt idx="4">
                  <c:v>Late Night</c:v>
                </c:pt>
                <c:pt idx="5">
                  <c:v>Night</c:v>
                </c:pt>
              </c:strCache>
            </c:strRef>
          </c:cat>
          <c:val>
            <c:numRef>
              <c:f>'✅ Trip Performance'!$V$16:$V$21</c:f>
              <c:numCache>
                <c:formatCode>General</c:formatCode>
                <c:ptCount val="6"/>
                <c:pt idx="0">
                  <c:v>37</c:v>
                </c:pt>
                <c:pt idx="1">
                  <c:v>40.6</c:v>
                </c:pt>
                <c:pt idx="2">
                  <c:v>58.2</c:v>
                </c:pt>
                <c:pt idx="3">
                  <c:v>48.9</c:v>
                </c:pt>
                <c:pt idx="4">
                  <c:v>33.299999999999997</c:v>
                </c:pt>
                <c:pt idx="5">
                  <c:v>42.1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2BC-4B25-83EB-311E99A48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Completion 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Daily Requests: Completed vs Cancelled vs No Cars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'📅 Day &amp; Trend'!$S$10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27AE60"/>
            </a:solidFill>
            <a:ln>
              <a:prstDash val="solid"/>
            </a:ln>
          </c:spPr>
          <c:invertIfNegative val="1"/>
          <c:cat>
            <c:strRef>
              <c:f>'📅 Day &amp; Trend'!$R$11:$R$15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'📅 Day &amp; Trend'!$S$11:$S$15</c:f>
              <c:numCache>
                <c:formatCode>General</c:formatCode>
                <c:ptCount val="5"/>
                <c:pt idx="0">
                  <c:v>601</c:v>
                </c:pt>
                <c:pt idx="1">
                  <c:v>562</c:v>
                </c:pt>
                <c:pt idx="2">
                  <c:v>577</c:v>
                </c:pt>
                <c:pt idx="3">
                  <c:v>530</c:v>
                </c:pt>
                <c:pt idx="4">
                  <c:v>561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958-412E-B1F9-3F312011738F}"/>
            </c:ext>
          </c:extLst>
        </c:ser>
        <c:ser>
          <c:idx val="1"/>
          <c:order val="1"/>
          <c:tx>
            <c:strRef>
              <c:f>'📅 Day &amp; Trend'!$T$10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C0392B"/>
            </a:solidFill>
            <a:ln>
              <a:prstDash val="solid"/>
            </a:ln>
          </c:spPr>
          <c:invertIfNegative val="1"/>
          <c:cat>
            <c:strRef>
              <c:f>'📅 Day &amp; Trend'!$R$11:$R$15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'📅 Day &amp; Trend'!$T$11:$T$15</c:f>
              <c:numCache>
                <c:formatCode>General</c:formatCode>
                <c:ptCount val="5"/>
                <c:pt idx="0">
                  <c:v>262</c:v>
                </c:pt>
                <c:pt idx="1">
                  <c:v>240</c:v>
                </c:pt>
                <c:pt idx="2">
                  <c:v>270</c:v>
                </c:pt>
                <c:pt idx="3">
                  <c:v>252</c:v>
                </c:pt>
                <c:pt idx="4">
                  <c:v>240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958-412E-B1F9-3F312011738F}"/>
            </c:ext>
          </c:extLst>
        </c:ser>
        <c:ser>
          <c:idx val="2"/>
          <c:order val="2"/>
          <c:tx>
            <c:strRef>
              <c:f>'📅 Day &amp; Trend'!$U$10</c:f>
              <c:strCache>
                <c:ptCount val="1"/>
                <c:pt idx="0">
                  <c:v>No Cars</c:v>
                </c:pt>
              </c:strCache>
            </c:strRef>
          </c:tx>
          <c:spPr>
            <a:solidFill>
              <a:srgbClr val="E67E22"/>
            </a:solidFill>
            <a:ln>
              <a:prstDash val="solid"/>
            </a:ln>
          </c:spPr>
          <c:invertIfNegative val="1"/>
          <c:cat>
            <c:strRef>
              <c:f>'📅 Day &amp; Trend'!$R$11:$R$15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'📅 Day &amp; Trend'!$U$11:$U$15</c:f>
              <c:numCache>
                <c:formatCode>General</c:formatCode>
                <c:ptCount val="5"/>
                <c:pt idx="0">
                  <c:v>504</c:v>
                </c:pt>
                <c:pt idx="1">
                  <c:v>505</c:v>
                </c:pt>
                <c:pt idx="2">
                  <c:v>490</c:v>
                </c:pt>
                <c:pt idx="3">
                  <c:v>571</c:v>
                </c:pt>
                <c:pt idx="4">
                  <c:v>580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958-412E-B1F9-3F3120117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Requests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Daily Gap Rate (%) — Consistency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'📅 Day &amp; Trend'!$X$10</c:f>
              <c:strCache>
                <c:ptCount val="1"/>
                <c:pt idx="0">
                  <c:v>Gap%</c:v>
                </c:pt>
              </c:strCache>
            </c:strRef>
          </c:tx>
          <c:spPr>
            <a:ln w="25000">
              <a:solidFill>
                <a:srgbClr val="C0392B"/>
              </a:solidFill>
              <a:prstDash val="solid"/>
            </a:ln>
          </c:spPr>
          <c:marker>
            <c:symbol val="none"/>
          </c:marker>
          <c:cat>
            <c:strRef>
              <c:f>'📅 Day &amp; Trend'!$W$11:$W$15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'📅 Day &amp; Trend'!$X$11:$X$15</c:f>
              <c:numCache>
                <c:formatCode>General</c:formatCode>
                <c:ptCount val="5"/>
                <c:pt idx="0">
                  <c:v>56</c:v>
                </c:pt>
                <c:pt idx="1">
                  <c:v>57</c:v>
                </c:pt>
                <c:pt idx="2">
                  <c:v>56.8</c:v>
                </c:pt>
                <c:pt idx="3">
                  <c:v>60.8</c:v>
                </c:pt>
                <c:pt idx="4">
                  <c:v>59.4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91-4F5F-9644-7B6C15934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Gap 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98612</xdr:colOff>
      <xdr:row>28</xdr:row>
      <xdr:rowOff>44823</xdr:rowOff>
    </xdr:from>
    <xdr:ext cx="5040000" cy="464371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277906</xdr:colOff>
      <xdr:row>28</xdr:row>
      <xdr:rowOff>35859</xdr:rowOff>
    </xdr:from>
    <xdr:ext cx="4706470" cy="4643718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206188</xdr:colOff>
      <xdr:row>27</xdr:row>
      <xdr:rowOff>143435</xdr:rowOff>
    </xdr:from>
    <xdr:ext cx="6400800" cy="46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35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215153</xdr:colOff>
      <xdr:row>35</xdr:row>
      <xdr:rowOff>8964</xdr:rowOff>
    </xdr:from>
    <xdr:ext cx="6422892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22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170329</xdr:colOff>
      <xdr:row>22</xdr:row>
      <xdr:rowOff>62752</xdr:rowOff>
    </xdr:from>
    <xdr:ext cx="648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22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690282</xdr:colOff>
      <xdr:row>22</xdr:row>
      <xdr:rowOff>98611</xdr:rowOff>
    </xdr:from>
    <xdr:ext cx="720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100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242046</xdr:colOff>
      <xdr:row>16</xdr:row>
      <xdr:rowOff>35859</xdr:rowOff>
    </xdr:from>
    <xdr:ext cx="6485647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23"/>
  <sheetViews>
    <sheetView showGridLines="0" zoomScale="85" workbookViewId="0">
      <selection activeCell="U10" sqref="U10"/>
    </sheetView>
  </sheetViews>
  <sheetFormatPr defaultRowHeight="14.4" x14ac:dyDescent="0.3"/>
  <cols>
    <col min="1" max="1" width="1" customWidth="1"/>
    <col min="2" max="16" width="12" customWidth="1"/>
    <col min="17" max="17" width="1" customWidth="1"/>
    <col min="18" max="18" width="15.6640625" customWidth="1"/>
    <col min="22" max="22" width="10.44140625" customWidth="1"/>
    <col min="24" max="24" width="11.21875" customWidth="1"/>
  </cols>
  <sheetData>
    <row r="1" spans="2:24" ht="6" customHeight="1" x14ac:dyDescent="0.3">
      <c r="B1" s="105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</row>
    <row r="2" spans="2:24" ht="43.95" customHeight="1" x14ac:dyDescent="0.3">
      <c r="B2" s="97" t="s">
        <v>0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24" ht="7.95" customHeight="1" x14ac:dyDescent="0.3">
      <c r="B3" s="114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</row>
    <row r="4" spans="2:24" ht="6" customHeight="1" x14ac:dyDescent="0.3">
      <c r="B4" s="112"/>
      <c r="C4" s="103"/>
      <c r="D4" s="104"/>
      <c r="E4" s="116"/>
      <c r="F4" s="103"/>
      <c r="G4" s="104"/>
      <c r="H4" s="115"/>
      <c r="I4" s="103"/>
      <c r="J4" s="104"/>
      <c r="K4" s="110"/>
      <c r="L4" s="103"/>
      <c r="M4" s="104"/>
      <c r="N4" s="113"/>
      <c r="O4" s="103"/>
      <c r="P4" s="104"/>
    </row>
    <row r="5" spans="2:24" ht="18" customHeight="1" x14ac:dyDescent="0.3">
      <c r="B5" s="102" t="s">
        <v>1</v>
      </c>
      <c r="C5" s="103"/>
      <c r="D5" s="104"/>
      <c r="E5" s="102" t="s">
        <v>2</v>
      </c>
      <c r="F5" s="103"/>
      <c r="G5" s="104"/>
      <c r="H5" s="102" t="s">
        <v>3</v>
      </c>
      <c r="I5" s="103"/>
      <c r="J5" s="104"/>
      <c r="K5" s="102" t="s">
        <v>4</v>
      </c>
      <c r="L5" s="103"/>
      <c r="M5" s="104"/>
      <c r="N5" s="102" t="s">
        <v>5</v>
      </c>
      <c r="O5" s="103"/>
      <c r="P5" s="104"/>
    </row>
    <row r="6" spans="2:24" ht="36" customHeight="1" x14ac:dyDescent="0.3">
      <c r="B6" s="108" t="s">
        <v>6</v>
      </c>
      <c r="C6" s="103"/>
      <c r="D6" s="104"/>
      <c r="E6" s="107" t="s">
        <v>7</v>
      </c>
      <c r="F6" s="103"/>
      <c r="G6" s="104"/>
      <c r="H6" s="117" t="s">
        <v>8</v>
      </c>
      <c r="I6" s="103"/>
      <c r="J6" s="104"/>
      <c r="K6" s="111" t="s">
        <v>9</v>
      </c>
      <c r="L6" s="103"/>
      <c r="M6" s="104"/>
      <c r="N6" s="109" t="s">
        <v>10</v>
      </c>
      <c r="O6" s="103"/>
      <c r="P6" s="104"/>
    </row>
    <row r="7" spans="2:24" ht="16.05" customHeight="1" x14ac:dyDescent="0.3">
      <c r="B7" s="106" t="s">
        <v>11</v>
      </c>
      <c r="C7" s="103"/>
      <c r="D7" s="104"/>
      <c r="E7" s="106" t="s">
        <v>12</v>
      </c>
      <c r="F7" s="103"/>
      <c r="G7" s="104"/>
      <c r="H7" s="106" t="s">
        <v>13</v>
      </c>
      <c r="I7" s="103"/>
      <c r="J7" s="104"/>
      <c r="K7" s="106" t="s">
        <v>14</v>
      </c>
      <c r="L7" s="103"/>
      <c r="M7" s="104"/>
      <c r="N7" s="106" t="s">
        <v>15</v>
      </c>
      <c r="O7" s="103"/>
      <c r="P7" s="104"/>
    </row>
    <row r="9" spans="2:24" ht="28.05" customHeight="1" x14ac:dyDescent="0.3">
      <c r="B9" s="99" t="s">
        <v>16</v>
      </c>
      <c r="C9" s="100"/>
      <c r="D9" s="100"/>
      <c r="E9" s="100"/>
      <c r="F9" s="100"/>
      <c r="G9" s="100"/>
      <c r="H9" s="101"/>
      <c r="I9" s="99" t="s">
        <v>17</v>
      </c>
      <c r="J9" s="100"/>
      <c r="K9" s="100"/>
      <c r="L9" s="100"/>
      <c r="M9" s="100"/>
      <c r="N9" s="100"/>
      <c r="O9" s="100"/>
      <c r="P9" s="101"/>
    </row>
    <row r="10" spans="2:24" ht="22.05" customHeight="1" x14ac:dyDescent="0.3">
      <c r="B10" s="1" t="s">
        <v>18</v>
      </c>
      <c r="C10" s="1" t="s">
        <v>19</v>
      </c>
      <c r="D10" s="1" t="s">
        <v>20</v>
      </c>
      <c r="I10" s="2" t="s">
        <v>21</v>
      </c>
      <c r="J10" s="2" t="s">
        <v>22</v>
      </c>
      <c r="K10" s="2" t="s">
        <v>23</v>
      </c>
      <c r="L10" s="2" t="s">
        <v>24</v>
      </c>
      <c r="M10" s="2" t="s">
        <v>25</v>
      </c>
      <c r="R10" t="s">
        <v>18</v>
      </c>
      <c r="S10" t="s">
        <v>19</v>
      </c>
      <c r="U10" t="s">
        <v>21</v>
      </c>
      <c r="V10" t="s">
        <v>23</v>
      </c>
      <c r="W10" t="s">
        <v>24</v>
      </c>
      <c r="X10" t="s">
        <v>25</v>
      </c>
    </row>
    <row r="11" spans="2:24" ht="22.05" customHeight="1" x14ac:dyDescent="0.3">
      <c r="B11" s="3" t="s">
        <v>26</v>
      </c>
      <c r="C11" s="4">
        <v>2831</v>
      </c>
      <c r="D11" s="3" t="s">
        <v>27</v>
      </c>
      <c r="I11" s="5" t="s">
        <v>28</v>
      </c>
      <c r="J11" s="6">
        <v>3238</v>
      </c>
      <c r="K11" s="7">
        <v>1327</v>
      </c>
      <c r="L11" s="8">
        <v>198</v>
      </c>
      <c r="M11" s="9">
        <v>1713</v>
      </c>
      <c r="R11" t="s">
        <v>26</v>
      </c>
      <c r="S11">
        <v>2831</v>
      </c>
      <c r="U11" t="s">
        <v>28</v>
      </c>
      <c r="V11">
        <v>1327</v>
      </c>
      <c r="W11">
        <v>198</v>
      </c>
      <c r="X11">
        <v>1713</v>
      </c>
    </row>
    <row r="12" spans="2:24" ht="22.05" customHeight="1" x14ac:dyDescent="0.3">
      <c r="B12" s="10" t="s">
        <v>29</v>
      </c>
      <c r="C12" s="11">
        <v>2650</v>
      </c>
      <c r="D12" s="10" t="s">
        <v>30</v>
      </c>
      <c r="I12" s="12" t="s">
        <v>31</v>
      </c>
      <c r="J12" s="11">
        <v>3507</v>
      </c>
      <c r="K12" s="7">
        <v>1504</v>
      </c>
      <c r="L12" s="8">
        <v>1066</v>
      </c>
      <c r="M12" s="9">
        <v>937</v>
      </c>
      <c r="R12" t="s">
        <v>29</v>
      </c>
      <c r="S12">
        <v>2650</v>
      </c>
      <c r="U12" t="s">
        <v>31</v>
      </c>
      <c r="V12">
        <v>1504</v>
      </c>
      <c r="W12">
        <v>1066</v>
      </c>
      <c r="X12">
        <v>937</v>
      </c>
    </row>
    <row r="13" spans="2:24" ht="22.05" customHeight="1" x14ac:dyDescent="0.3">
      <c r="B13" s="13" t="s">
        <v>24</v>
      </c>
      <c r="C13" s="14">
        <v>1264</v>
      </c>
      <c r="D13" s="13" t="s">
        <v>32</v>
      </c>
      <c r="R13" t="s">
        <v>24</v>
      </c>
      <c r="S13">
        <v>1264</v>
      </c>
    </row>
    <row r="16" spans="2:24" ht="28.05" customHeight="1" x14ac:dyDescent="0.3">
      <c r="B16" s="99" t="s">
        <v>33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1"/>
    </row>
    <row r="17" spans="2:20" ht="22.05" customHeight="1" x14ac:dyDescent="0.3">
      <c r="B17" s="15" t="s">
        <v>34</v>
      </c>
      <c r="C17" s="15" t="s">
        <v>22</v>
      </c>
      <c r="D17" s="15" t="s">
        <v>23</v>
      </c>
      <c r="E17" s="15" t="s">
        <v>24</v>
      </c>
      <c r="F17" s="15" t="s">
        <v>25</v>
      </c>
      <c r="G17" s="15" t="s">
        <v>35</v>
      </c>
      <c r="H17" s="15" t="s">
        <v>36</v>
      </c>
      <c r="I17" s="15" t="s">
        <v>37</v>
      </c>
      <c r="R17" t="s">
        <v>34</v>
      </c>
      <c r="S17" t="s">
        <v>35</v>
      </c>
      <c r="T17" t="s">
        <v>23</v>
      </c>
    </row>
    <row r="18" spans="2:20" ht="19.95" customHeight="1" x14ac:dyDescent="0.3">
      <c r="B18" s="16" t="s">
        <v>38</v>
      </c>
      <c r="C18" s="17">
        <v>578</v>
      </c>
      <c r="D18" s="17">
        <v>214</v>
      </c>
      <c r="E18" s="17">
        <v>65</v>
      </c>
      <c r="F18" s="17">
        <v>299</v>
      </c>
      <c r="G18" s="17">
        <v>364</v>
      </c>
      <c r="H18" s="18" t="s">
        <v>39</v>
      </c>
      <c r="I18" s="19" t="s">
        <v>40</v>
      </c>
      <c r="R18" t="s">
        <v>38</v>
      </c>
      <c r="S18">
        <v>364</v>
      </c>
      <c r="T18">
        <v>214</v>
      </c>
    </row>
    <row r="19" spans="2:20" ht="19.95" customHeight="1" x14ac:dyDescent="0.3">
      <c r="B19" s="20" t="s">
        <v>41</v>
      </c>
      <c r="C19" s="21">
        <v>2103</v>
      </c>
      <c r="D19" s="21">
        <v>854</v>
      </c>
      <c r="E19" s="21">
        <v>843</v>
      </c>
      <c r="F19" s="21">
        <v>406</v>
      </c>
      <c r="G19" s="21">
        <v>1249</v>
      </c>
      <c r="H19" s="22" t="s">
        <v>42</v>
      </c>
      <c r="I19" s="23" t="s">
        <v>43</v>
      </c>
      <c r="R19" t="s">
        <v>41</v>
      </c>
      <c r="S19">
        <v>1249</v>
      </c>
      <c r="T19">
        <v>854</v>
      </c>
    </row>
    <row r="20" spans="2:20" ht="19.95" customHeight="1" x14ac:dyDescent="0.3">
      <c r="B20" s="24" t="s">
        <v>44</v>
      </c>
      <c r="C20" s="25">
        <v>758</v>
      </c>
      <c r="D20" s="25">
        <v>441</v>
      </c>
      <c r="E20" s="25">
        <v>114</v>
      </c>
      <c r="F20" s="25">
        <v>203</v>
      </c>
      <c r="G20" s="25">
        <v>317</v>
      </c>
      <c r="H20" s="26" t="s">
        <v>45</v>
      </c>
      <c r="I20" s="27" t="s">
        <v>46</v>
      </c>
      <c r="R20" t="s">
        <v>44</v>
      </c>
      <c r="S20">
        <v>317</v>
      </c>
      <c r="T20">
        <v>441</v>
      </c>
    </row>
    <row r="21" spans="2:20" ht="19.95" customHeight="1" x14ac:dyDescent="0.3">
      <c r="B21" s="28" t="s">
        <v>47</v>
      </c>
      <c r="C21" s="29">
        <v>884</v>
      </c>
      <c r="D21" s="29">
        <v>432</v>
      </c>
      <c r="E21" s="29">
        <v>89</v>
      </c>
      <c r="F21" s="29">
        <v>363</v>
      </c>
      <c r="G21" s="29">
        <v>452</v>
      </c>
      <c r="H21" s="30" t="s">
        <v>48</v>
      </c>
      <c r="I21" s="31" t="s">
        <v>49</v>
      </c>
      <c r="R21" t="s">
        <v>47</v>
      </c>
      <c r="S21">
        <v>452</v>
      </c>
      <c r="T21">
        <v>432</v>
      </c>
    </row>
    <row r="22" spans="2:20" ht="19.95" customHeight="1" x14ac:dyDescent="0.3">
      <c r="B22" s="32" t="s">
        <v>50</v>
      </c>
      <c r="C22" s="33">
        <v>1475</v>
      </c>
      <c r="D22" s="33">
        <v>491</v>
      </c>
      <c r="E22" s="33">
        <v>89</v>
      </c>
      <c r="F22" s="33">
        <v>895</v>
      </c>
      <c r="G22" s="33">
        <v>984</v>
      </c>
      <c r="H22" s="34" t="s">
        <v>51</v>
      </c>
      <c r="I22" s="35" t="s">
        <v>52</v>
      </c>
      <c r="R22" t="s">
        <v>50</v>
      </c>
      <c r="S22">
        <v>984</v>
      </c>
      <c r="T22">
        <v>491</v>
      </c>
    </row>
    <row r="23" spans="2:20" ht="19.95" customHeight="1" x14ac:dyDescent="0.3">
      <c r="B23" s="36" t="s">
        <v>53</v>
      </c>
      <c r="C23" s="37">
        <v>947</v>
      </c>
      <c r="D23" s="37">
        <v>399</v>
      </c>
      <c r="E23" s="37">
        <v>64</v>
      </c>
      <c r="F23" s="37">
        <v>484</v>
      </c>
      <c r="G23" s="37">
        <v>548</v>
      </c>
      <c r="H23" s="38" t="s">
        <v>54</v>
      </c>
      <c r="I23" s="39" t="s">
        <v>55</v>
      </c>
      <c r="R23" t="s">
        <v>53</v>
      </c>
      <c r="S23">
        <v>548</v>
      </c>
      <c r="T23">
        <v>399</v>
      </c>
    </row>
  </sheetData>
  <mergeCells count="26">
    <mergeCell ref="B3:P3"/>
    <mergeCell ref="H4:J4"/>
    <mergeCell ref="E4:G4"/>
    <mergeCell ref="I9:P9"/>
    <mergeCell ref="H6:J6"/>
    <mergeCell ref="B7:D7"/>
    <mergeCell ref="N7:P7"/>
    <mergeCell ref="B16:P16"/>
    <mergeCell ref="E5:G5"/>
    <mergeCell ref="K5:M5"/>
    <mergeCell ref="B2:P2"/>
    <mergeCell ref="B9:H9"/>
    <mergeCell ref="N5:P5"/>
    <mergeCell ref="B1:P1"/>
    <mergeCell ref="H7:J7"/>
    <mergeCell ref="E6:G6"/>
    <mergeCell ref="E7:G7"/>
    <mergeCell ref="B6:D6"/>
    <mergeCell ref="N6:P6"/>
    <mergeCell ref="K7:M7"/>
    <mergeCell ref="B5:D5"/>
    <mergeCell ref="K4:M4"/>
    <mergeCell ref="K6:M6"/>
    <mergeCell ref="H5:J5"/>
    <mergeCell ref="B4:D4"/>
    <mergeCell ref="N4:P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34"/>
  <sheetViews>
    <sheetView showGridLines="0" topLeftCell="A28" zoomScale="85" workbookViewId="0"/>
  </sheetViews>
  <sheetFormatPr defaultRowHeight="14.4" x14ac:dyDescent="0.3"/>
  <cols>
    <col min="1" max="1" width="1" customWidth="1"/>
    <col min="2" max="16" width="9" customWidth="1"/>
    <col min="17" max="17" width="1" customWidth="1"/>
  </cols>
  <sheetData>
    <row r="1" spans="2:23" ht="6" customHeight="1" x14ac:dyDescent="0.3">
      <c r="B1" s="105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</row>
    <row r="2" spans="2:23" ht="43.95" customHeight="1" x14ac:dyDescent="0.3">
      <c r="B2" s="97" t="s">
        <v>56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23" ht="7.95" customHeight="1" x14ac:dyDescent="0.3">
      <c r="B3" s="114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</row>
    <row r="4" spans="2:23" ht="6" customHeight="1" x14ac:dyDescent="0.3">
      <c r="B4" s="112"/>
      <c r="C4" s="103"/>
      <c r="D4" s="104"/>
      <c r="E4" s="115"/>
      <c r="F4" s="103"/>
      <c r="G4" s="104"/>
      <c r="H4" s="110"/>
      <c r="I4" s="103"/>
      <c r="J4" s="104"/>
      <c r="K4" s="116"/>
      <c r="L4" s="103"/>
      <c r="M4" s="104"/>
      <c r="N4" s="113"/>
      <c r="O4" s="103"/>
      <c r="P4" s="104"/>
    </row>
    <row r="5" spans="2:23" ht="18" customHeight="1" x14ac:dyDescent="0.3">
      <c r="B5" s="102" t="s">
        <v>57</v>
      </c>
      <c r="C5" s="103"/>
      <c r="D5" s="104"/>
      <c r="E5" s="102" t="s">
        <v>58</v>
      </c>
      <c r="F5" s="103"/>
      <c r="G5" s="104"/>
      <c r="H5" s="102" t="s">
        <v>59</v>
      </c>
      <c r="I5" s="103"/>
      <c r="J5" s="104"/>
      <c r="K5" s="102" t="s">
        <v>60</v>
      </c>
      <c r="L5" s="103"/>
      <c r="M5" s="104"/>
      <c r="N5" s="102" t="s">
        <v>61</v>
      </c>
      <c r="O5" s="103"/>
      <c r="P5" s="104"/>
    </row>
    <row r="6" spans="2:23" ht="36" customHeight="1" x14ac:dyDescent="0.3">
      <c r="B6" s="108" t="s">
        <v>62</v>
      </c>
      <c r="C6" s="103"/>
      <c r="D6" s="104"/>
      <c r="E6" s="117" t="s">
        <v>62</v>
      </c>
      <c r="F6" s="103"/>
      <c r="G6" s="104"/>
      <c r="H6" s="111" t="s">
        <v>63</v>
      </c>
      <c r="I6" s="103"/>
      <c r="J6" s="104"/>
      <c r="K6" s="107" t="s">
        <v>64</v>
      </c>
      <c r="L6" s="103"/>
      <c r="M6" s="104"/>
      <c r="N6" s="109" t="s">
        <v>65</v>
      </c>
      <c r="O6" s="103"/>
      <c r="P6" s="104"/>
    </row>
    <row r="7" spans="2:23" ht="16.05" customHeight="1" x14ac:dyDescent="0.3">
      <c r="B7" s="106" t="s">
        <v>66</v>
      </c>
      <c r="C7" s="103"/>
      <c r="D7" s="104"/>
      <c r="E7" s="106" t="s">
        <v>67</v>
      </c>
      <c r="F7" s="103"/>
      <c r="G7" s="104"/>
      <c r="H7" s="106" t="s">
        <v>68</v>
      </c>
      <c r="I7" s="103"/>
      <c r="J7" s="104"/>
      <c r="K7" s="106" t="s">
        <v>69</v>
      </c>
      <c r="L7" s="103"/>
      <c r="M7" s="104"/>
      <c r="N7" s="106" t="s">
        <v>70</v>
      </c>
      <c r="O7" s="103"/>
      <c r="P7" s="104"/>
    </row>
    <row r="9" spans="2:23" ht="28.05" customHeight="1" x14ac:dyDescent="0.3">
      <c r="B9" s="99" t="s">
        <v>71</v>
      </c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1"/>
    </row>
    <row r="10" spans="2:23" ht="22.05" customHeight="1" x14ac:dyDescent="0.3">
      <c r="B10" s="1" t="s">
        <v>72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35</v>
      </c>
      <c r="H10" s="1" t="s">
        <v>36</v>
      </c>
      <c r="I10" s="1" t="s">
        <v>37</v>
      </c>
      <c r="R10" t="s">
        <v>72</v>
      </c>
      <c r="S10" t="s">
        <v>22</v>
      </c>
      <c r="T10" t="s">
        <v>23</v>
      </c>
      <c r="U10" t="s">
        <v>24</v>
      </c>
      <c r="V10" t="s">
        <v>73</v>
      </c>
      <c r="W10" t="s">
        <v>74</v>
      </c>
    </row>
    <row r="11" spans="2:23" ht="16.95" customHeight="1" x14ac:dyDescent="0.3">
      <c r="B11" s="40" t="s">
        <v>75</v>
      </c>
      <c r="C11" s="41">
        <v>99</v>
      </c>
      <c r="D11" s="41">
        <v>40</v>
      </c>
      <c r="E11" s="41">
        <v>3</v>
      </c>
      <c r="F11" s="41">
        <v>56</v>
      </c>
      <c r="G11" s="41">
        <v>59</v>
      </c>
      <c r="H11" s="7" t="s">
        <v>76</v>
      </c>
      <c r="I11" s="7" t="s">
        <v>77</v>
      </c>
      <c r="R11" t="s">
        <v>75</v>
      </c>
      <c r="S11">
        <v>99</v>
      </c>
      <c r="T11">
        <v>40</v>
      </c>
      <c r="U11">
        <v>3</v>
      </c>
      <c r="V11">
        <v>56</v>
      </c>
      <c r="W11">
        <v>59.6</v>
      </c>
    </row>
    <row r="12" spans="2:23" ht="16.95" customHeight="1" x14ac:dyDescent="0.3">
      <c r="B12" s="42" t="s">
        <v>78</v>
      </c>
      <c r="C12" s="43">
        <v>85</v>
      </c>
      <c r="D12" s="43">
        <v>25</v>
      </c>
      <c r="E12" s="43">
        <v>4</v>
      </c>
      <c r="F12" s="43">
        <v>56</v>
      </c>
      <c r="G12" s="43">
        <v>60</v>
      </c>
      <c r="H12" s="7" t="s">
        <v>79</v>
      </c>
      <c r="I12" s="7" t="s">
        <v>63</v>
      </c>
      <c r="R12" t="s">
        <v>78</v>
      </c>
      <c r="S12">
        <v>85</v>
      </c>
      <c r="T12">
        <v>25</v>
      </c>
      <c r="U12">
        <v>4</v>
      </c>
      <c r="V12">
        <v>56</v>
      </c>
      <c r="W12">
        <v>70.599999999999994</v>
      </c>
    </row>
    <row r="13" spans="2:23" ht="16.95" customHeight="1" x14ac:dyDescent="0.3">
      <c r="B13" s="40" t="s">
        <v>80</v>
      </c>
      <c r="C13" s="41">
        <v>99</v>
      </c>
      <c r="D13" s="41">
        <v>37</v>
      </c>
      <c r="E13" s="41">
        <v>5</v>
      </c>
      <c r="F13" s="41">
        <v>57</v>
      </c>
      <c r="G13" s="41">
        <v>62</v>
      </c>
      <c r="H13" s="7" t="s">
        <v>81</v>
      </c>
      <c r="I13" s="7" t="s">
        <v>82</v>
      </c>
      <c r="R13" t="s">
        <v>80</v>
      </c>
      <c r="S13">
        <v>99</v>
      </c>
      <c r="T13">
        <v>37</v>
      </c>
      <c r="U13">
        <v>5</v>
      </c>
      <c r="V13">
        <v>57</v>
      </c>
      <c r="W13">
        <v>62.6</v>
      </c>
    </row>
    <row r="14" spans="2:23" ht="16.95" customHeight="1" x14ac:dyDescent="0.3">
      <c r="B14" s="42" t="s">
        <v>83</v>
      </c>
      <c r="C14" s="43">
        <v>92</v>
      </c>
      <c r="D14" s="43">
        <v>34</v>
      </c>
      <c r="E14" s="43">
        <v>2</v>
      </c>
      <c r="F14" s="43">
        <v>56</v>
      </c>
      <c r="G14" s="43">
        <v>58</v>
      </c>
      <c r="H14" s="7" t="s">
        <v>39</v>
      </c>
      <c r="I14" s="7" t="s">
        <v>40</v>
      </c>
      <c r="R14" t="s">
        <v>83</v>
      </c>
      <c r="S14">
        <v>92</v>
      </c>
      <c r="T14">
        <v>34</v>
      </c>
      <c r="U14">
        <v>2</v>
      </c>
      <c r="V14">
        <v>56</v>
      </c>
      <c r="W14">
        <v>63</v>
      </c>
    </row>
    <row r="15" spans="2:23" ht="16.95" customHeight="1" x14ac:dyDescent="0.3">
      <c r="B15" s="40" t="s">
        <v>84</v>
      </c>
      <c r="C15" s="41">
        <v>203</v>
      </c>
      <c r="D15" s="41">
        <v>78</v>
      </c>
      <c r="E15" s="41">
        <v>51</v>
      </c>
      <c r="F15" s="41">
        <v>74</v>
      </c>
      <c r="G15" s="41">
        <v>125</v>
      </c>
      <c r="H15" s="7" t="s">
        <v>85</v>
      </c>
      <c r="I15" s="7" t="s">
        <v>86</v>
      </c>
      <c r="R15" t="s">
        <v>84</v>
      </c>
      <c r="S15">
        <v>203</v>
      </c>
      <c r="T15">
        <v>78</v>
      </c>
      <c r="U15">
        <v>51</v>
      </c>
      <c r="V15">
        <v>74</v>
      </c>
      <c r="W15">
        <v>61.6</v>
      </c>
    </row>
    <row r="16" spans="2:23" ht="16.95" customHeight="1" x14ac:dyDescent="0.3">
      <c r="B16" s="42" t="s">
        <v>64</v>
      </c>
      <c r="C16" s="43">
        <v>445</v>
      </c>
      <c r="D16" s="43">
        <v>185</v>
      </c>
      <c r="E16" s="43">
        <v>176</v>
      </c>
      <c r="F16" s="43">
        <v>84</v>
      </c>
      <c r="G16" s="43">
        <v>260</v>
      </c>
      <c r="H16" s="7" t="s">
        <v>87</v>
      </c>
      <c r="I16" s="8" t="s">
        <v>88</v>
      </c>
      <c r="R16" t="s">
        <v>64</v>
      </c>
      <c r="S16">
        <v>445</v>
      </c>
      <c r="T16">
        <v>185</v>
      </c>
      <c r="U16">
        <v>176</v>
      </c>
      <c r="V16">
        <v>84</v>
      </c>
      <c r="W16">
        <v>58.4</v>
      </c>
    </row>
    <row r="17" spans="2:23" ht="16.95" customHeight="1" x14ac:dyDescent="0.3">
      <c r="B17" s="40" t="s">
        <v>89</v>
      </c>
      <c r="C17" s="41">
        <v>398</v>
      </c>
      <c r="D17" s="41">
        <v>167</v>
      </c>
      <c r="E17" s="41">
        <v>145</v>
      </c>
      <c r="F17" s="41">
        <v>86</v>
      </c>
      <c r="G17" s="41">
        <v>231</v>
      </c>
      <c r="H17" s="7" t="s">
        <v>27</v>
      </c>
      <c r="I17" s="8" t="s">
        <v>90</v>
      </c>
      <c r="R17" t="s">
        <v>89</v>
      </c>
      <c r="S17">
        <v>398</v>
      </c>
      <c r="T17">
        <v>167</v>
      </c>
      <c r="U17">
        <v>145</v>
      </c>
      <c r="V17">
        <v>86</v>
      </c>
      <c r="W17">
        <v>58</v>
      </c>
    </row>
    <row r="18" spans="2:23" ht="16.95" customHeight="1" x14ac:dyDescent="0.3">
      <c r="B18" s="42" t="s">
        <v>91</v>
      </c>
      <c r="C18" s="43">
        <v>406</v>
      </c>
      <c r="D18" s="43">
        <v>174</v>
      </c>
      <c r="E18" s="43">
        <v>169</v>
      </c>
      <c r="F18" s="43">
        <v>63</v>
      </c>
      <c r="G18" s="43">
        <v>232</v>
      </c>
      <c r="H18" s="7" t="s">
        <v>92</v>
      </c>
      <c r="I18" s="8" t="s">
        <v>93</v>
      </c>
      <c r="R18" t="s">
        <v>91</v>
      </c>
      <c r="S18">
        <v>406</v>
      </c>
      <c r="T18">
        <v>174</v>
      </c>
      <c r="U18">
        <v>169</v>
      </c>
      <c r="V18">
        <v>63</v>
      </c>
      <c r="W18">
        <v>57.1</v>
      </c>
    </row>
    <row r="19" spans="2:23" ht="16.95" customHeight="1" x14ac:dyDescent="0.3">
      <c r="B19" s="40" t="s">
        <v>94</v>
      </c>
      <c r="C19" s="41">
        <v>423</v>
      </c>
      <c r="D19" s="41">
        <v>155</v>
      </c>
      <c r="E19" s="41">
        <v>178</v>
      </c>
      <c r="F19" s="41">
        <v>90</v>
      </c>
      <c r="G19" s="41">
        <v>268</v>
      </c>
      <c r="H19" s="7" t="s">
        <v>95</v>
      </c>
      <c r="I19" s="8" t="s">
        <v>96</v>
      </c>
      <c r="R19" t="s">
        <v>94</v>
      </c>
      <c r="S19">
        <v>423</v>
      </c>
      <c r="T19">
        <v>155</v>
      </c>
      <c r="U19">
        <v>178</v>
      </c>
      <c r="V19">
        <v>90</v>
      </c>
      <c r="W19">
        <v>63.4</v>
      </c>
    </row>
    <row r="20" spans="2:23" ht="16.95" customHeight="1" x14ac:dyDescent="0.3">
      <c r="B20" s="42" t="s">
        <v>97</v>
      </c>
      <c r="C20" s="43">
        <v>431</v>
      </c>
      <c r="D20" s="43">
        <v>173</v>
      </c>
      <c r="E20" s="43">
        <v>175</v>
      </c>
      <c r="F20" s="43">
        <v>83</v>
      </c>
      <c r="G20" s="43">
        <v>258</v>
      </c>
      <c r="H20" s="7" t="s">
        <v>98</v>
      </c>
      <c r="I20" s="8" t="s">
        <v>99</v>
      </c>
      <c r="R20" t="s">
        <v>97</v>
      </c>
      <c r="S20">
        <v>431</v>
      </c>
      <c r="T20">
        <v>173</v>
      </c>
      <c r="U20">
        <v>175</v>
      </c>
      <c r="V20">
        <v>83</v>
      </c>
      <c r="W20">
        <v>59.9</v>
      </c>
    </row>
    <row r="21" spans="2:23" ht="16.95" customHeight="1" x14ac:dyDescent="0.3">
      <c r="B21" s="40" t="s">
        <v>100</v>
      </c>
      <c r="C21" s="41">
        <v>243</v>
      </c>
      <c r="D21" s="41">
        <v>116</v>
      </c>
      <c r="E21" s="41">
        <v>62</v>
      </c>
      <c r="F21" s="41">
        <v>65</v>
      </c>
      <c r="G21" s="41">
        <v>127</v>
      </c>
      <c r="H21" s="7" t="s">
        <v>101</v>
      </c>
      <c r="I21" s="7" t="s">
        <v>102</v>
      </c>
      <c r="R21" t="s">
        <v>100</v>
      </c>
      <c r="S21">
        <v>243</v>
      </c>
      <c r="T21">
        <v>116</v>
      </c>
      <c r="U21">
        <v>62</v>
      </c>
      <c r="V21">
        <v>65</v>
      </c>
      <c r="W21">
        <v>52.3</v>
      </c>
    </row>
    <row r="22" spans="2:23" ht="16.95" customHeight="1" x14ac:dyDescent="0.3">
      <c r="B22" s="42" t="s">
        <v>103</v>
      </c>
      <c r="C22" s="43">
        <v>171</v>
      </c>
      <c r="D22" s="43">
        <v>115</v>
      </c>
      <c r="E22" s="43">
        <v>15</v>
      </c>
      <c r="F22" s="43">
        <v>41</v>
      </c>
      <c r="G22" s="43">
        <v>56</v>
      </c>
      <c r="H22" s="7" t="s">
        <v>104</v>
      </c>
      <c r="I22" s="7" t="s">
        <v>105</v>
      </c>
      <c r="R22" t="s">
        <v>103</v>
      </c>
      <c r="S22">
        <v>171</v>
      </c>
      <c r="T22">
        <v>115</v>
      </c>
      <c r="U22">
        <v>15</v>
      </c>
      <c r="V22">
        <v>41</v>
      </c>
      <c r="W22">
        <v>32.700000000000003</v>
      </c>
    </row>
    <row r="23" spans="2:23" ht="16.95" customHeight="1" x14ac:dyDescent="0.3">
      <c r="B23" s="40" t="s">
        <v>106</v>
      </c>
      <c r="C23" s="41">
        <v>184</v>
      </c>
      <c r="D23" s="41">
        <v>121</v>
      </c>
      <c r="E23" s="41">
        <v>19</v>
      </c>
      <c r="F23" s="41">
        <v>44</v>
      </c>
      <c r="G23" s="41">
        <v>63</v>
      </c>
      <c r="H23" s="7" t="s">
        <v>107</v>
      </c>
      <c r="I23" s="7" t="s">
        <v>108</v>
      </c>
      <c r="R23" t="s">
        <v>106</v>
      </c>
      <c r="S23">
        <v>184</v>
      </c>
      <c r="T23">
        <v>121</v>
      </c>
      <c r="U23">
        <v>19</v>
      </c>
      <c r="V23">
        <v>44</v>
      </c>
      <c r="W23">
        <v>34.200000000000003</v>
      </c>
    </row>
    <row r="24" spans="2:23" ht="16.95" customHeight="1" x14ac:dyDescent="0.3">
      <c r="B24" s="42" t="s">
        <v>109</v>
      </c>
      <c r="C24" s="43">
        <v>160</v>
      </c>
      <c r="D24" s="43">
        <v>89</v>
      </c>
      <c r="E24" s="43">
        <v>18</v>
      </c>
      <c r="F24" s="43">
        <v>53</v>
      </c>
      <c r="G24" s="43">
        <v>71</v>
      </c>
      <c r="H24" s="7" t="s">
        <v>110</v>
      </c>
      <c r="I24" s="7" t="s">
        <v>111</v>
      </c>
      <c r="R24" t="s">
        <v>109</v>
      </c>
      <c r="S24">
        <v>160</v>
      </c>
      <c r="T24">
        <v>89</v>
      </c>
      <c r="U24">
        <v>18</v>
      </c>
      <c r="V24">
        <v>53</v>
      </c>
      <c r="W24">
        <v>44.4</v>
      </c>
    </row>
    <row r="25" spans="2:23" ht="16.95" customHeight="1" x14ac:dyDescent="0.3">
      <c r="B25" s="40" t="s">
        <v>112</v>
      </c>
      <c r="C25" s="41">
        <v>136</v>
      </c>
      <c r="D25" s="41">
        <v>88</v>
      </c>
      <c r="E25" s="41">
        <v>11</v>
      </c>
      <c r="F25" s="41">
        <v>37</v>
      </c>
      <c r="G25" s="41">
        <v>48</v>
      </c>
      <c r="H25" s="7" t="s">
        <v>113</v>
      </c>
      <c r="I25" s="7" t="s">
        <v>114</v>
      </c>
      <c r="R25" t="s">
        <v>112</v>
      </c>
      <c r="S25">
        <v>136</v>
      </c>
      <c r="T25">
        <v>88</v>
      </c>
      <c r="U25">
        <v>11</v>
      </c>
      <c r="V25">
        <v>37</v>
      </c>
      <c r="W25">
        <v>35.299999999999997</v>
      </c>
    </row>
    <row r="26" spans="2:23" ht="16.95" customHeight="1" x14ac:dyDescent="0.3">
      <c r="B26" s="42" t="s">
        <v>115</v>
      </c>
      <c r="C26" s="43">
        <v>171</v>
      </c>
      <c r="D26" s="43">
        <v>102</v>
      </c>
      <c r="E26" s="43">
        <v>21</v>
      </c>
      <c r="F26" s="43">
        <v>48</v>
      </c>
      <c r="G26" s="43">
        <v>69</v>
      </c>
      <c r="H26" s="7" t="s">
        <v>77</v>
      </c>
      <c r="I26" s="7" t="s">
        <v>76</v>
      </c>
      <c r="R26" t="s">
        <v>115</v>
      </c>
      <c r="S26">
        <v>171</v>
      </c>
      <c r="T26">
        <v>102</v>
      </c>
      <c r="U26">
        <v>21</v>
      </c>
      <c r="V26">
        <v>48</v>
      </c>
      <c r="W26">
        <v>40.4</v>
      </c>
    </row>
    <row r="27" spans="2:23" ht="16.95" customHeight="1" x14ac:dyDescent="0.3">
      <c r="B27" s="40" t="s">
        <v>116</v>
      </c>
      <c r="C27" s="41">
        <v>159</v>
      </c>
      <c r="D27" s="41">
        <v>91</v>
      </c>
      <c r="E27" s="41">
        <v>22</v>
      </c>
      <c r="F27" s="41">
        <v>46</v>
      </c>
      <c r="G27" s="41">
        <v>68</v>
      </c>
      <c r="H27" s="7" t="s">
        <v>117</v>
      </c>
      <c r="I27" s="7" t="s">
        <v>118</v>
      </c>
      <c r="R27" t="s">
        <v>116</v>
      </c>
      <c r="S27">
        <v>159</v>
      </c>
      <c r="T27">
        <v>91</v>
      </c>
      <c r="U27">
        <v>22</v>
      </c>
      <c r="V27">
        <v>46</v>
      </c>
      <c r="W27">
        <v>42.8</v>
      </c>
    </row>
    <row r="28" spans="2:23" ht="16.95" customHeight="1" x14ac:dyDescent="0.3">
      <c r="B28" s="42" t="s">
        <v>119</v>
      </c>
      <c r="C28" s="43">
        <v>418</v>
      </c>
      <c r="D28" s="43">
        <v>151</v>
      </c>
      <c r="E28" s="43">
        <v>35</v>
      </c>
      <c r="F28" s="43">
        <v>232</v>
      </c>
      <c r="G28" s="43">
        <v>267</v>
      </c>
      <c r="H28" s="7" t="s">
        <v>120</v>
      </c>
      <c r="I28" s="8" t="s">
        <v>121</v>
      </c>
      <c r="R28" t="s">
        <v>119</v>
      </c>
      <c r="S28">
        <v>418</v>
      </c>
      <c r="T28">
        <v>151</v>
      </c>
      <c r="U28">
        <v>35</v>
      </c>
      <c r="V28">
        <v>232</v>
      </c>
      <c r="W28">
        <v>63.9</v>
      </c>
    </row>
    <row r="29" spans="2:23" ht="16.95" customHeight="1" x14ac:dyDescent="0.3">
      <c r="B29" s="40" t="s">
        <v>62</v>
      </c>
      <c r="C29" s="41">
        <v>510</v>
      </c>
      <c r="D29" s="41">
        <v>164</v>
      </c>
      <c r="E29" s="41">
        <v>24</v>
      </c>
      <c r="F29" s="41">
        <v>322</v>
      </c>
      <c r="G29" s="41">
        <v>346</v>
      </c>
      <c r="H29" s="7" t="s">
        <v>122</v>
      </c>
      <c r="I29" s="8" t="s">
        <v>123</v>
      </c>
      <c r="R29" t="s">
        <v>62</v>
      </c>
      <c r="S29">
        <v>510</v>
      </c>
      <c r="T29">
        <v>164</v>
      </c>
      <c r="U29">
        <v>24</v>
      </c>
      <c r="V29">
        <v>322</v>
      </c>
      <c r="W29">
        <v>67.8</v>
      </c>
    </row>
    <row r="30" spans="2:23" ht="16.95" customHeight="1" x14ac:dyDescent="0.3">
      <c r="B30" s="42" t="s">
        <v>124</v>
      </c>
      <c r="C30" s="43">
        <v>473</v>
      </c>
      <c r="D30" s="43">
        <v>166</v>
      </c>
      <c r="E30" s="43">
        <v>24</v>
      </c>
      <c r="F30" s="43">
        <v>283</v>
      </c>
      <c r="G30" s="43">
        <v>307</v>
      </c>
      <c r="H30" s="7" t="s">
        <v>125</v>
      </c>
      <c r="I30" s="8" t="s">
        <v>126</v>
      </c>
      <c r="R30" t="s">
        <v>124</v>
      </c>
      <c r="S30">
        <v>473</v>
      </c>
      <c r="T30">
        <v>166</v>
      </c>
      <c r="U30">
        <v>24</v>
      </c>
      <c r="V30">
        <v>283</v>
      </c>
      <c r="W30">
        <v>64.900000000000006</v>
      </c>
    </row>
    <row r="31" spans="2:23" ht="16.95" customHeight="1" x14ac:dyDescent="0.3">
      <c r="B31" s="40" t="s">
        <v>127</v>
      </c>
      <c r="C31" s="41">
        <v>492</v>
      </c>
      <c r="D31" s="41">
        <v>161</v>
      </c>
      <c r="E31" s="41">
        <v>41</v>
      </c>
      <c r="F31" s="41">
        <v>290</v>
      </c>
      <c r="G31" s="41">
        <v>331</v>
      </c>
      <c r="H31" s="7" t="s">
        <v>105</v>
      </c>
      <c r="I31" s="8" t="s">
        <v>104</v>
      </c>
      <c r="R31" t="s">
        <v>127</v>
      </c>
      <c r="S31">
        <v>492</v>
      </c>
      <c r="T31">
        <v>161</v>
      </c>
      <c r="U31">
        <v>41</v>
      </c>
      <c r="V31">
        <v>290</v>
      </c>
      <c r="W31">
        <v>67.3</v>
      </c>
    </row>
    <row r="32" spans="2:23" ht="16.95" customHeight="1" x14ac:dyDescent="0.3">
      <c r="B32" s="42" t="s">
        <v>128</v>
      </c>
      <c r="C32" s="43">
        <v>449</v>
      </c>
      <c r="D32" s="43">
        <v>142</v>
      </c>
      <c r="E32" s="43">
        <v>42</v>
      </c>
      <c r="F32" s="43">
        <v>265</v>
      </c>
      <c r="G32" s="43">
        <v>307</v>
      </c>
      <c r="H32" s="7" t="s">
        <v>129</v>
      </c>
      <c r="I32" s="8" t="s">
        <v>130</v>
      </c>
      <c r="R32" t="s">
        <v>128</v>
      </c>
      <c r="S32">
        <v>449</v>
      </c>
      <c r="T32">
        <v>142</v>
      </c>
      <c r="U32">
        <v>42</v>
      </c>
      <c r="V32">
        <v>265</v>
      </c>
      <c r="W32">
        <v>68.400000000000006</v>
      </c>
    </row>
    <row r="33" spans="2:23" ht="16.95" customHeight="1" x14ac:dyDescent="0.3">
      <c r="B33" s="40" t="s">
        <v>131</v>
      </c>
      <c r="C33" s="41">
        <v>304</v>
      </c>
      <c r="D33" s="41">
        <v>154</v>
      </c>
      <c r="E33" s="41">
        <v>12</v>
      </c>
      <c r="F33" s="41">
        <v>138</v>
      </c>
      <c r="G33" s="41">
        <v>150</v>
      </c>
      <c r="H33" s="7" t="s">
        <v>132</v>
      </c>
      <c r="I33" s="7" t="s">
        <v>133</v>
      </c>
      <c r="R33" t="s">
        <v>131</v>
      </c>
      <c r="S33">
        <v>304</v>
      </c>
      <c r="T33">
        <v>154</v>
      </c>
      <c r="U33">
        <v>12</v>
      </c>
      <c r="V33">
        <v>138</v>
      </c>
      <c r="W33">
        <v>49.3</v>
      </c>
    </row>
    <row r="34" spans="2:23" ht="16.95" customHeight="1" x14ac:dyDescent="0.3">
      <c r="B34" s="42" t="s">
        <v>134</v>
      </c>
      <c r="C34" s="43">
        <v>194</v>
      </c>
      <c r="D34" s="43">
        <v>103</v>
      </c>
      <c r="E34" s="43">
        <v>10</v>
      </c>
      <c r="F34" s="43">
        <v>81</v>
      </c>
      <c r="G34" s="43">
        <v>91</v>
      </c>
      <c r="H34" s="7" t="s">
        <v>135</v>
      </c>
      <c r="I34" s="7" t="s">
        <v>136</v>
      </c>
      <c r="R34" t="s">
        <v>134</v>
      </c>
      <c r="S34">
        <v>194</v>
      </c>
      <c r="T34">
        <v>103</v>
      </c>
      <c r="U34">
        <v>10</v>
      </c>
      <c r="V34">
        <v>81</v>
      </c>
      <c r="W34">
        <v>46.9</v>
      </c>
    </row>
  </sheetData>
  <mergeCells count="24">
    <mergeCell ref="B9:P9"/>
    <mergeCell ref="E7:G7"/>
    <mergeCell ref="B6:D6"/>
    <mergeCell ref="N6:P6"/>
    <mergeCell ref="K7:M7"/>
    <mergeCell ref="K6:M6"/>
    <mergeCell ref="B7:D7"/>
    <mergeCell ref="N7:P7"/>
    <mergeCell ref="H6:J6"/>
    <mergeCell ref="B2:P2"/>
    <mergeCell ref="N5:P5"/>
    <mergeCell ref="B1:P1"/>
    <mergeCell ref="H7:J7"/>
    <mergeCell ref="E6:G6"/>
    <mergeCell ref="B5:D5"/>
    <mergeCell ref="K4:M4"/>
    <mergeCell ref="H5:J5"/>
    <mergeCell ref="B4:D4"/>
    <mergeCell ref="N4:P4"/>
    <mergeCell ref="E5:G5"/>
    <mergeCell ref="K5:M5"/>
    <mergeCell ref="B3:P3"/>
    <mergeCell ref="H4:J4"/>
    <mergeCell ref="E4:G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Y21"/>
  <sheetViews>
    <sheetView showGridLines="0" topLeftCell="A19" zoomScale="85" workbookViewId="0"/>
  </sheetViews>
  <sheetFormatPr defaultRowHeight="14.4" x14ac:dyDescent="0.3"/>
  <cols>
    <col min="1" max="1" width="1" customWidth="1"/>
    <col min="2" max="16" width="10" customWidth="1"/>
    <col min="17" max="17" width="1" customWidth="1"/>
  </cols>
  <sheetData>
    <row r="1" spans="2:25" ht="6" customHeight="1" x14ac:dyDescent="0.3">
      <c r="B1" s="105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</row>
    <row r="2" spans="2:25" ht="43.95" customHeight="1" x14ac:dyDescent="0.3">
      <c r="B2" s="118" t="s">
        <v>137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25" ht="7.95" customHeight="1" x14ac:dyDescent="0.3">
      <c r="B3" s="114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</row>
    <row r="4" spans="2:25" ht="6" customHeight="1" x14ac:dyDescent="0.3">
      <c r="B4" s="115"/>
      <c r="C4" s="103"/>
      <c r="D4" s="104"/>
      <c r="E4" s="110"/>
      <c r="F4" s="103"/>
      <c r="G4" s="104"/>
      <c r="H4" s="113"/>
      <c r="I4" s="103"/>
      <c r="J4" s="104"/>
      <c r="K4" s="112"/>
      <c r="L4" s="103"/>
      <c r="M4" s="104"/>
      <c r="N4" s="120"/>
      <c r="O4" s="103"/>
      <c r="P4" s="104"/>
    </row>
    <row r="5" spans="2:25" ht="18" customHeight="1" x14ac:dyDescent="0.3">
      <c r="B5" s="102" t="s">
        <v>138</v>
      </c>
      <c r="C5" s="103"/>
      <c r="D5" s="104"/>
      <c r="E5" s="102" t="s">
        <v>139</v>
      </c>
      <c r="F5" s="103"/>
      <c r="G5" s="104"/>
      <c r="H5" s="102" t="s">
        <v>140</v>
      </c>
      <c r="I5" s="103"/>
      <c r="J5" s="104"/>
      <c r="K5" s="102" t="s">
        <v>141</v>
      </c>
      <c r="L5" s="103"/>
      <c r="M5" s="104"/>
      <c r="N5" s="102" t="s">
        <v>142</v>
      </c>
      <c r="O5" s="103"/>
      <c r="P5" s="104"/>
    </row>
    <row r="6" spans="2:25" ht="36" customHeight="1" x14ac:dyDescent="0.3">
      <c r="B6" s="117" t="s">
        <v>143</v>
      </c>
      <c r="C6" s="103"/>
      <c r="D6" s="104"/>
      <c r="E6" s="111" t="s">
        <v>144</v>
      </c>
      <c r="F6" s="103"/>
      <c r="G6" s="104"/>
      <c r="H6" s="109" t="s">
        <v>145</v>
      </c>
      <c r="I6" s="103"/>
      <c r="J6" s="104"/>
      <c r="K6" s="108" t="s">
        <v>146</v>
      </c>
      <c r="L6" s="103"/>
      <c r="M6" s="104"/>
      <c r="N6" s="119" t="s">
        <v>8</v>
      </c>
      <c r="O6" s="103"/>
      <c r="P6" s="104"/>
    </row>
    <row r="7" spans="2:25" ht="16.05" customHeight="1" x14ac:dyDescent="0.3">
      <c r="B7" s="106" t="s">
        <v>147</v>
      </c>
      <c r="C7" s="103"/>
      <c r="D7" s="104"/>
      <c r="E7" s="106" t="s">
        <v>148</v>
      </c>
      <c r="F7" s="103"/>
      <c r="G7" s="104"/>
      <c r="H7" s="106" t="s">
        <v>149</v>
      </c>
      <c r="I7" s="103"/>
      <c r="J7" s="104"/>
      <c r="K7" s="106" t="s">
        <v>150</v>
      </c>
      <c r="L7" s="103"/>
      <c r="M7" s="104"/>
      <c r="N7" s="106" t="s">
        <v>151</v>
      </c>
      <c r="O7" s="103"/>
      <c r="P7" s="104"/>
    </row>
    <row r="9" spans="2:25" ht="28.05" customHeight="1" x14ac:dyDescent="0.3">
      <c r="B9" s="99" t="s">
        <v>152</v>
      </c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1"/>
    </row>
    <row r="10" spans="2:25" ht="24" customHeight="1" x14ac:dyDescent="0.3">
      <c r="B10" s="44" t="s">
        <v>153</v>
      </c>
      <c r="C10" s="45" t="s">
        <v>38</v>
      </c>
      <c r="D10" s="46" t="s">
        <v>41</v>
      </c>
      <c r="E10" s="47" t="s">
        <v>44</v>
      </c>
      <c r="F10" s="48" t="s">
        <v>47</v>
      </c>
      <c r="G10" s="49" t="s">
        <v>50</v>
      </c>
      <c r="H10" s="50" t="s">
        <v>53</v>
      </c>
    </row>
    <row r="11" spans="2:25" ht="31.95" customHeight="1" x14ac:dyDescent="0.3">
      <c r="B11" s="1" t="s">
        <v>28</v>
      </c>
      <c r="C11" s="51">
        <v>150</v>
      </c>
      <c r="D11" s="52">
        <v>44</v>
      </c>
      <c r="E11" s="53">
        <v>91</v>
      </c>
      <c r="F11" s="54">
        <v>294</v>
      </c>
      <c r="G11" s="55">
        <v>911</v>
      </c>
      <c r="H11" s="56">
        <v>421</v>
      </c>
    </row>
    <row r="12" spans="2:25" ht="31.95" customHeight="1" x14ac:dyDescent="0.3">
      <c r="B12" s="1" t="s">
        <v>31</v>
      </c>
      <c r="C12" s="57">
        <v>214</v>
      </c>
      <c r="D12" s="58">
        <v>1205</v>
      </c>
      <c r="E12" s="59">
        <v>226</v>
      </c>
      <c r="F12" s="60">
        <v>158</v>
      </c>
      <c r="G12" s="61">
        <v>73</v>
      </c>
      <c r="H12" s="62">
        <v>127</v>
      </c>
    </row>
    <row r="14" spans="2:25" ht="28.05" customHeight="1" x14ac:dyDescent="0.3">
      <c r="B14" s="99" t="s">
        <v>154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1"/>
    </row>
    <row r="15" spans="2:25" ht="22.05" customHeight="1" x14ac:dyDescent="0.3">
      <c r="B15" s="63" t="s">
        <v>34</v>
      </c>
      <c r="C15" s="63" t="s">
        <v>24</v>
      </c>
      <c r="D15" s="63" t="s">
        <v>25</v>
      </c>
      <c r="E15" s="63" t="s">
        <v>155</v>
      </c>
      <c r="F15" s="63" t="s">
        <v>156</v>
      </c>
      <c r="G15" s="63" t="s">
        <v>157</v>
      </c>
      <c r="R15" t="s">
        <v>34</v>
      </c>
      <c r="S15" t="s">
        <v>24</v>
      </c>
      <c r="T15" t="s">
        <v>25</v>
      </c>
      <c r="V15" t="s">
        <v>21</v>
      </c>
      <c r="W15" t="s">
        <v>23</v>
      </c>
      <c r="X15" t="s">
        <v>24</v>
      </c>
      <c r="Y15" t="s">
        <v>25</v>
      </c>
    </row>
    <row r="16" spans="2:25" ht="22.05" customHeight="1" x14ac:dyDescent="0.3">
      <c r="B16" s="64" t="s">
        <v>38</v>
      </c>
      <c r="C16" s="65">
        <v>65</v>
      </c>
      <c r="D16" s="66">
        <v>299</v>
      </c>
      <c r="E16" s="64">
        <v>364</v>
      </c>
      <c r="F16" s="64" t="s">
        <v>158</v>
      </c>
      <c r="G16" s="17" t="s">
        <v>159</v>
      </c>
      <c r="R16" t="s">
        <v>38</v>
      </c>
      <c r="S16">
        <v>65</v>
      </c>
      <c r="T16">
        <v>299</v>
      </c>
      <c r="V16" t="s">
        <v>28</v>
      </c>
      <c r="W16">
        <v>1327</v>
      </c>
      <c r="X16">
        <v>198</v>
      </c>
      <c r="Y16">
        <v>1713</v>
      </c>
    </row>
    <row r="17" spans="2:25" ht="22.05" customHeight="1" x14ac:dyDescent="0.3">
      <c r="B17" s="67" t="s">
        <v>41</v>
      </c>
      <c r="C17" s="68">
        <v>843</v>
      </c>
      <c r="D17" s="69">
        <v>406</v>
      </c>
      <c r="E17" s="67">
        <v>1249</v>
      </c>
      <c r="F17" s="67" t="s">
        <v>160</v>
      </c>
      <c r="G17" s="21" t="s">
        <v>161</v>
      </c>
      <c r="R17" t="s">
        <v>41</v>
      </c>
      <c r="S17">
        <v>843</v>
      </c>
      <c r="T17">
        <v>406</v>
      </c>
      <c r="V17" t="s">
        <v>31</v>
      </c>
      <c r="W17">
        <v>1504</v>
      </c>
      <c r="X17">
        <v>1066</v>
      </c>
      <c r="Y17">
        <v>937</v>
      </c>
    </row>
    <row r="18" spans="2:25" ht="22.05" customHeight="1" x14ac:dyDescent="0.3">
      <c r="B18" s="70" t="s">
        <v>44</v>
      </c>
      <c r="C18" s="71">
        <v>114</v>
      </c>
      <c r="D18" s="72">
        <v>203</v>
      </c>
      <c r="E18" s="70">
        <v>317</v>
      </c>
      <c r="F18" s="70" t="s">
        <v>162</v>
      </c>
      <c r="G18" s="25" t="s">
        <v>163</v>
      </c>
      <c r="R18" t="s">
        <v>44</v>
      </c>
      <c r="S18">
        <v>114</v>
      </c>
      <c r="T18">
        <v>203</v>
      </c>
    </row>
    <row r="19" spans="2:25" ht="22.05" customHeight="1" x14ac:dyDescent="0.3">
      <c r="B19" s="73" t="s">
        <v>47</v>
      </c>
      <c r="C19" s="74">
        <v>89</v>
      </c>
      <c r="D19" s="75">
        <v>363</v>
      </c>
      <c r="E19" s="73">
        <v>452</v>
      </c>
      <c r="F19" s="73" t="s">
        <v>164</v>
      </c>
      <c r="G19" s="29" t="s">
        <v>165</v>
      </c>
      <c r="R19" t="s">
        <v>47</v>
      </c>
      <c r="S19">
        <v>89</v>
      </c>
      <c r="T19">
        <v>363</v>
      </c>
    </row>
    <row r="20" spans="2:25" ht="22.05" customHeight="1" x14ac:dyDescent="0.3">
      <c r="B20" s="76" t="s">
        <v>50</v>
      </c>
      <c r="C20" s="77">
        <v>89</v>
      </c>
      <c r="D20" s="78">
        <v>895</v>
      </c>
      <c r="E20" s="76">
        <v>984</v>
      </c>
      <c r="F20" s="76" t="s">
        <v>166</v>
      </c>
      <c r="G20" s="33" t="s">
        <v>167</v>
      </c>
      <c r="R20" t="s">
        <v>50</v>
      </c>
      <c r="S20">
        <v>89</v>
      </c>
      <c r="T20">
        <v>895</v>
      </c>
    </row>
    <row r="21" spans="2:25" ht="22.05" customHeight="1" x14ac:dyDescent="0.3">
      <c r="B21" s="79" t="s">
        <v>53</v>
      </c>
      <c r="C21" s="80">
        <v>64</v>
      </c>
      <c r="D21" s="81">
        <v>484</v>
      </c>
      <c r="E21" s="79">
        <v>548</v>
      </c>
      <c r="F21" s="79" t="s">
        <v>168</v>
      </c>
      <c r="G21" s="37" t="s">
        <v>169</v>
      </c>
      <c r="R21" t="s">
        <v>53</v>
      </c>
      <c r="S21">
        <v>64</v>
      </c>
      <c r="T21">
        <v>484</v>
      </c>
    </row>
  </sheetData>
  <mergeCells count="25">
    <mergeCell ref="B3:P3"/>
    <mergeCell ref="H4:J4"/>
    <mergeCell ref="E4:G4"/>
    <mergeCell ref="H6:J6"/>
    <mergeCell ref="N4:P4"/>
    <mergeCell ref="B7:D7"/>
    <mergeCell ref="N7:P7"/>
    <mergeCell ref="E5:G5"/>
    <mergeCell ref="K5:M5"/>
    <mergeCell ref="B2:P2"/>
    <mergeCell ref="B14:P14"/>
    <mergeCell ref="N5:P5"/>
    <mergeCell ref="B1:P1"/>
    <mergeCell ref="H7:J7"/>
    <mergeCell ref="E6:G6"/>
    <mergeCell ref="B9:P9"/>
    <mergeCell ref="E7:G7"/>
    <mergeCell ref="B6:D6"/>
    <mergeCell ref="N6:P6"/>
    <mergeCell ref="K7:M7"/>
    <mergeCell ref="B5:D5"/>
    <mergeCell ref="K4:M4"/>
    <mergeCell ref="K6:M6"/>
    <mergeCell ref="H5:J5"/>
    <mergeCell ref="B4:D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21"/>
  <sheetViews>
    <sheetView showGridLines="0" topLeftCell="A16" zoomScale="85" workbookViewId="0"/>
  </sheetViews>
  <sheetFormatPr defaultRowHeight="14.4" x14ac:dyDescent="0.3"/>
  <cols>
    <col min="1" max="1" width="1" customWidth="1"/>
    <col min="2" max="16" width="11" customWidth="1"/>
    <col min="17" max="17" width="1" customWidth="1"/>
  </cols>
  <sheetData>
    <row r="1" spans="2:22" ht="6" customHeight="1" x14ac:dyDescent="0.3">
      <c r="B1" s="105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</row>
    <row r="2" spans="2:22" ht="43.95" customHeight="1" x14ac:dyDescent="0.3">
      <c r="B2" s="121" t="s">
        <v>170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22" ht="7.95" customHeight="1" x14ac:dyDescent="0.3">
      <c r="B3" s="114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</row>
    <row r="4" spans="2:22" ht="6" customHeight="1" x14ac:dyDescent="0.3">
      <c r="B4" s="123"/>
      <c r="C4" s="103"/>
      <c r="D4" s="104"/>
      <c r="E4" s="112"/>
      <c r="F4" s="103"/>
      <c r="G4" s="104"/>
      <c r="H4" s="116"/>
      <c r="I4" s="103"/>
      <c r="J4" s="104"/>
      <c r="K4" s="110"/>
      <c r="L4" s="103"/>
      <c r="M4" s="104"/>
      <c r="N4" s="120"/>
      <c r="O4" s="103"/>
      <c r="P4" s="104"/>
    </row>
    <row r="5" spans="2:22" ht="18" customHeight="1" x14ac:dyDescent="0.3">
      <c r="B5" s="102" t="s">
        <v>171</v>
      </c>
      <c r="C5" s="103"/>
      <c r="D5" s="104"/>
      <c r="E5" s="102" t="s">
        <v>172</v>
      </c>
      <c r="F5" s="103"/>
      <c r="G5" s="104"/>
      <c r="H5" s="102" t="s">
        <v>173</v>
      </c>
      <c r="I5" s="103"/>
      <c r="J5" s="104"/>
      <c r="K5" s="102" t="s">
        <v>174</v>
      </c>
      <c r="L5" s="103"/>
      <c r="M5" s="104"/>
      <c r="N5" s="102" t="s">
        <v>175</v>
      </c>
      <c r="O5" s="103"/>
      <c r="P5" s="104"/>
    </row>
    <row r="6" spans="2:22" ht="36" customHeight="1" x14ac:dyDescent="0.3">
      <c r="B6" s="122" t="s">
        <v>176</v>
      </c>
      <c r="C6" s="103"/>
      <c r="D6" s="104"/>
      <c r="E6" s="108" t="s">
        <v>177</v>
      </c>
      <c r="F6" s="103"/>
      <c r="G6" s="104"/>
      <c r="H6" s="107" t="s">
        <v>178</v>
      </c>
      <c r="I6" s="103"/>
      <c r="J6" s="104"/>
      <c r="K6" s="111" t="s">
        <v>179</v>
      </c>
      <c r="L6" s="103"/>
      <c r="M6" s="104"/>
      <c r="N6" s="119" t="s">
        <v>7</v>
      </c>
      <c r="O6" s="103"/>
      <c r="P6" s="104"/>
    </row>
    <row r="7" spans="2:22" ht="16.05" customHeight="1" x14ac:dyDescent="0.3">
      <c r="B7" s="106" t="s">
        <v>180</v>
      </c>
      <c r="C7" s="103"/>
      <c r="D7" s="104"/>
      <c r="E7" s="106" t="s">
        <v>181</v>
      </c>
      <c r="F7" s="103"/>
      <c r="G7" s="104"/>
      <c r="H7" s="106" t="s">
        <v>182</v>
      </c>
      <c r="I7" s="103"/>
      <c r="J7" s="104"/>
      <c r="K7" s="106" t="s">
        <v>183</v>
      </c>
      <c r="L7" s="103"/>
      <c r="M7" s="104"/>
      <c r="N7" s="106" t="s">
        <v>184</v>
      </c>
      <c r="O7" s="103"/>
      <c r="P7" s="104"/>
    </row>
    <row r="9" spans="2:22" ht="28.05" customHeight="1" x14ac:dyDescent="0.3">
      <c r="B9" s="99" t="s">
        <v>185</v>
      </c>
      <c r="C9" s="100"/>
      <c r="D9" s="100"/>
      <c r="E9" s="101"/>
      <c r="F9" s="99" t="s">
        <v>186</v>
      </c>
      <c r="G9" s="100"/>
      <c r="H9" s="100"/>
      <c r="I9" s="100"/>
      <c r="J9" s="100"/>
      <c r="K9" s="100"/>
      <c r="L9" s="100"/>
      <c r="M9" s="100"/>
      <c r="N9" s="100"/>
      <c r="O9" s="100"/>
      <c r="P9" s="101"/>
    </row>
    <row r="10" spans="2:22" ht="22.05" customHeight="1" x14ac:dyDescent="0.3">
      <c r="B10" s="2" t="s">
        <v>34</v>
      </c>
      <c r="C10" s="2" t="s">
        <v>187</v>
      </c>
      <c r="D10" s="2" t="s">
        <v>188</v>
      </c>
      <c r="F10" s="82" t="s">
        <v>21</v>
      </c>
      <c r="G10" s="82" t="s">
        <v>189</v>
      </c>
      <c r="H10" s="82" t="s">
        <v>190</v>
      </c>
      <c r="I10" s="82" t="s">
        <v>191</v>
      </c>
      <c r="J10" s="82" t="s">
        <v>192</v>
      </c>
    </row>
    <row r="11" spans="2:22" ht="22.05" customHeight="1" x14ac:dyDescent="0.3">
      <c r="B11" s="64" t="s">
        <v>38</v>
      </c>
      <c r="C11" s="83">
        <v>53.8</v>
      </c>
      <c r="D11" s="84" t="s">
        <v>193</v>
      </c>
      <c r="F11" s="5" t="s">
        <v>28</v>
      </c>
      <c r="G11" s="85">
        <v>52.2</v>
      </c>
      <c r="H11" s="85">
        <v>51.6</v>
      </c>
      <c r="I11" s="85">
        <v>21.2</v>
      </c>
      <c r="J11" s="85">
        <v>82.1</v>
      </c>
    </row>
    <row r="12" spans="2:22" ht="22.05" customHeight="1" x14ac:dyDescent="0.3">
      <c r="B12" s="67" t="s">
        <v>41</v>
      </c>
      <c r="C12" s="86">
        <v>52.5</v>
      </c>
      <c r="D12" s="87" t="s">
        <v>194</v>
      </c>
      <c r="F12" s="88" t="s">
        <v>31</v>
      </c>
      <c r="G12" s="89">
        <v>52.6</v>
      </c>
      <c r="H12" s="89">
        <v>53</v>
      </c>
      <c r="I12" s="89">
        <v>20.8</v>
      </c>
      <c r="J12" s="89">
        <v>83</v>
      </c>
    </row>
    <row r="13" spans="2:22" ht="22.05" customHeight="1" x14ac:dyDescent="0.3">
      <c r="B13" s="70" t="s">
        <v>44</v>
      </c>
      <c r="C13" s="90">
        <v>52.3</v>
      </c>
      <c r="D13" s="91" t="s">
        <v>194</v>
      </c>
    </row>
    <row r="14" spans="2:22" ht="28.05" customHeight="1" x14ac:dyDescent="0.3">
      <c r="B14" s="99" t="s">
        <v>195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1"/>
    </row>
    <row r="15" spans="2:22" ht="22.05" customHeight="1" x14ac:dyDescent="0.3">
      <c r="B15" s="44" t="s">
        <v>34</v>
      </c>
      <c r="C15" s="44" t="s">
        <v>22</v>
      </c>
      <c r="D15" s="44" t="s">
        <v>23</v>
      </c>
      <c r="E15" s="44" t="s">
        <v>36</v>
      </c>
      <c r="F15" s="44" t="s">
        <v>24</v>
      </c>
      <c r="G15" s="44" t="s">
        <v>25</v>
      </c>
      <c r="H15" s="44" t="s">
        <v>35</v>
      </c>
      <c r="I15" s="44" t="s">
        <v>37</v>
      </c>
      <c r="R15" t="s">
        <v>34</v>
      </c>
      <c r="S15" t="s">
        <v>196</v>
      </c>
      <c r="U15" t="s">
        <v>34</v>
      </c>
      <c r="V15" t="s">
        <v>197</v>
      </c>
    </row>
    <row r="16" spans="2:22" ht="22.05" customHeight="1" x14ac:dyDescent="0.3">
      <c r="B16" s="64" t="s">
        <v>38</v>
      </c>
      <c r="C16" s="17">
        <v>578</v>
      </c>
      <c r="D16" s="17">
        <v>214</v>
      </c>
      <c r="E16" s="18" t="s">
        <v>39</v>
      </c>
      <c r="F16" s="65">
        <v>65</v>
      </c>
      <c r="G16" s="65">
        <v>299</v>
      </c>
      <c r="H16" s="65">
        <v>364</v>
      </c>
      <c r="I16" s="19" t="s">
        <v>40</v>
      </c>
      <c r="R16" t="s">
        <v>38</v>
      </c>
      <c r="S16">
        <v>53.8</v>
      </c>
      <c r="U16" t="s">
        <v>38</v>
      </c>
      <c r="V16">
        <v>37</v>
      </c>
    </row>
    <row r="17" spans="2:22" ht="22.05" customHeight="1" x14ac:dyDescent="0.3">
      <c r="B17" s="67" t="s">
        <v>41</v>
      </c>
      <c r="C17" s="21">
        <v>2103</v>
      </c>
      <c r="D17" s="21">
        <v>854</v>
      </c>
      <c r="E17" s="22" t="s">
        <v>42</v>
      </c>
      <c r="F17" s="68">
        <v>843</v>
      </c>
      <c r="G17" s="68">
        <v>406</v>
      </c>
      <c r="H17" s="68">
        <v>1249</v>
      </c>
      <c r="I17" s="23" t="s">
        <v>43</v>
      </c>
      <c r="R17" t="s">
        <v>41</v>
      </c>
      <c r="S17">
        <v>52.5</v>
      </c>
      <c r="U17" t="s">
        <v>41</v>
      </c>
      <c r="V17">
        <v>40.6</v>
      </c>
    </row>
    <row r="18" spans="2:22" ht="22.05" customHeight="1" x14ac:dyDescent="0.3">
      <c r="B18" s="70" t="s">
        <v>44</v>
      </c>
      <c r="C18" s="25">
        <v>758</v>
      </c>
      <c r="D18" s="25">
        <v>441</v>
      </c>
      <c r="E18" s="26" t="s">
        <v>45</v>
      </c>
      <c r="F18" s="71">
        <v>114</v>
      </c>
      <c r="G18" s="71">
        <v>203</v>
      </c>
      <c r="H18" s="71">
        <v>317</v>
      </c>
      <c r="I18" s="27" t="s">
        <v>46</v>
      </c>
      <c r="R18" t="s">
        <v>44</v>
      </c>
      <c r="S18">
        <v>52.3</v>
      </c>
      <c r="U18" t="s">
        <v>44</v>
      </c>
      <c r="V18">
        <v>58.2</v>
      </c>
    </row>
    <row r="19" spans="2:22" ht="22.05" customHeight="1" x14ac:dyDescent="0.3">
      <c r="B19" s="73" t="s">
        <v>47</v>
      </c>
      <c r="C19" s="29">
        <v>884</v>
      </c>
      <c r="D19" s="29">
        <v>432</v>
      </c>
      <c r="E19" s="30" t="s">
        <v>48</v>
      </c>
      <c r="F19" s="74">
        <v>89</v>
      </c>
      <c r="G19" s="74">
        <v>363</v>
      </c>
      <c r="H19" s="74">
        <v>452</v>
      </c>
      <c r="I19" s="31" t="s">
        <v>49</v>
      </c>
      <c r="R19" t="s">
        <v>47</v>
      </c>
      <c r="S19">
        <v>52.3</v>
      </c>
      <c r="U19" t="s">
        <v>47</v>
      </c>
      <c r="V19">
        <v>48.9</v>
      </c>
    </row>
    <row r="20" spans="2:22" ht="22.05" customHeight="1" x14ac:dyDescent="0.3">
      <c r="B20" s="76" t="s">
        <v>50</v>
      </c>
      <c r="C20" s="33">
        <v>1475</v>
      </c>
      <c r="D20" s="33">
        <v>491</v>
      </c>
      <c r="E20" s="34" t="s">
        <v>51</v>
      </c>
      <c r="F20" s="77">
        <v>89</v>
      </c>
      <c r="G20" s="77">
        <v>895</v>
      </c>
      <c r="H20" s="77">
        <v>984</v>
      </c>
      <c r="I20" s="35" t="s">
        <v>52</v>
      </c>
      <c r="R20" t="s">
        <v>50</v>
      </c>
      <c r="S20">
        <v>51.7</v>
      </c>
      <c r="U20" t="s">
        <v>50</v>
      </c>
      <c r="V20">
        <v>33.299999999999997</v>
      </c>
    </row>
    <row r="21" spans="2:22" ht="22.05" customHeight="1" x14ac:dyDescent="0.3">
      <c r="B21" s="79" t="s">
        <v>53</v>
      </c>
      <c r="C21" s="37">
        <v>947</v>
      </c>
      <c r="D21" s="37">
        <v>399</v>
      </c>
      <c r="E21" s="38" t="s">
        <v>54</v>
      </c>
      <c r="F21" s="80">
        <v>64</v>
      </c>
      <c r="G21" s="80">
        <v>484</v>
      </c>
      <c r="H21" s="80">
        <v>548</v>
      </c>
      <c r="I21" s="39" t="s">
        <v>55</v>
      </c>
      <c r="R21" t="s">
        <v>53</v>
      </c>
      <c r="S21">
        <v>52.6</v>
      </c>
      <c r="U21" t="s">
        <v>53</v>
      </c>
      <c r="V21">
        <v>42.1</v>
      </c>
    </row>
  </sheetData>
  <mergeCells count="26">
    <mergeCell ref="B3:P3"/>
    <mergeCell ref="H4:J4"/>
    <mergeCell ref="E4:G4"/>
    <mergeCell ref="H6:J6"/>
    <mergeCell ref="N4:P4"/>
    <mergeCell ref="B7:D7"/>
    <mergeCell ref="N7:P7"/>
    <mergeCell ref="F9:P9"/>
    <mergeCell ref="E5:G5"/>
    <mergeCell ref="K5:M5"/>
    <mergeCell ref="B9:E9"/>
    <mergeCell ref="B2:P2"/>
    <mergeCell ref="B14:P14"/>
    <mergeCell ref="N5:P5"/>
    <mergeCell ref="B1:P1"/>
    <mergeCell ref="H7:J7"/>
    <mergeCell ref="E6:G6"/>
    <mergeCell ref="E7:G7"/>
    <mergeCell ref="B6:D6"/>
    <mergeCell ref="N6:P6"/>
    <mergeCell ref="K7:M7"/>
    <mergeCell ref="B5:D5"/>
    <mergeCell ref="K4:M4"/>
    <mergeCell ref="K6:M6"/>
    <mergeCell ref="H5:J5"/>
    <mergeCell ref="B4:D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X15"/>
  <sheetViews>
    <sheetView showGridLines="0" tabSelected="1" zoomScale="85" workbookViewId="0"/>
  </sheetViews>
  <sheetFormatPr defaultRowHeight="14.4" x14ac:dyDescent="0.3"/>
  <cols>
    <col min="1" max="1" width="1" customWidth="1"/>
    <col min="2" max="16" width="12" customWidth="1"/>
    <col min="17" max="17" width="1" customWidth="1"/>
  </cols>
  <sheetData>
    <row r="1" spans="2:24" ht="6" customHeight="1" x14ac:dyDescent="0.3">
      <c r="B1" s="105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</row>
    <row r="2" spans="2:24" ht="43.95" customHeight="1" x14ac:dyDescent="0.3">
      <c r="B2" s="121" t="s">
        <v>198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2:24" ht="7.95" customHeight="1" x14ac:dyDescent="0.3">
      <c r="B3" s="114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</row>
    <row r="4" spans="2:24" ht="6" customHeight="1" x14ac:dyDescent="0.3">
      <c r="B4" s="112"/>
      <c r="C4" s="103"/>
      <c r="D4" s="104"/>
      <c r="E4" s="115"/>
      <c r="F4" s="103"/>
      <c r="G4" s="104"/>
      <c r="H4" s="123"/>
      <c r="I4" s="103"/>
      <c r="J4" s="104"/>
      <c r="K4" s="120"/>
      <c r="L4" s="103"/>
      <c r="M4" s="104"/>
      <c r="N4" s="110"/>
      <c r="O4" s="103"/>
      <c r="P4" s="104"/>
    </row>
    <row r="5" spans="2:24" ht="18" customHeight="1" x14ac:dyDescent="0.3">
      <c r="B5" s="102" t="s">
        <v>199</v>
      </c>
      <c r="C5" s="103"/>
      <c r="D5" s="104"/>
      <c r="E5" s="102" t="s">
        <v>200</v>
      </c>
      <c r="F5" s="103"/>
      <c r="G5" s="104"/>
      <c r="H5" s="102" t="s">
        <v>201</v>
      </c>
      <c r="I5" s="103"/>
      <c r="J5" s="104"/>
      <c r="K5" s="102" t="s">
        <v>202</v>
      </c>
      <c r="L5" s="103"/>
      <c r="M5" s="104"/>
      <c r="N5" s="102" t="s">
        <v>203</v>
      </c>
      <c r="O5" s="103"/>
      <c r="P5" s="104"/>
    </row>
    <row r="6" spans="2:24" ht="36" customHeight="1" x14ac:dyDescent="0.3">
      <c r="B6" s="108" t="s">
        <v>204</v>
      </c>
      <c r="C6" s="103"/>
      <c r="D6" s="104"/>
      <c r="E6" s="117" t="s">
        <v>205</v>
      </c>
      <c r="F6" s="103"/>
      <c r="G6" s="104"/>
      <c r="H6" s="122" t="s">
        <v>206</v>
      </c>
      <c r="I6" s="103"/>
      <c r="J6" s="104"/>
      <c r="K6" s="119" t="s">
        <v>207</v>
      </c>
      <c r="L6" s="103"/>
      <c r="M6" s="104"/>
      <c r="N6" s="111" t="s">
        <v>208</v>
      </c>
      <c r="O6" s="103"/>
      <c r="P6" s="104"/>
    </row>
    <row r="7" spans="2:24" ht="16.05" customHeight="1" x14ac:dyDescent="0.3">
      <c r="B7" s="106" t="s">
        <v>209</v>
      </c>
      <c r="C7" s="103"/>
      <c r="D7" s="104"/>
      <c r="E7" s="106" t="s">
        <v>210</v>
      </c>
      <c r="F7" s="103"/>
      <c r="G7" s="104"/>
      <c r="H7" s="106" t="s">
        <v>211</v>
      </c>
      <c r="I7" s="103"/>
      <c r="J7" s="104"/>
      <c r="K7" s="106" t="s">
        <v>212</v>
      </c>
      <c r="L7" s="103"/>
      <c r="M7" s="104"/>
      <c r="N7" s="106" t="s">
        <v>213</v>
      </c>
      <c r="O7" s="103"/>
      <c r="P7" s="104"/>
    </row>
    <row r="9" spans="2:24" ht="28.05" customHeight="1" x14ac:dyDescent="0.3">
      <c r="B9" s="99" t="s">
        <v>214</v>
      </c>
      <c r="C9" s="100"/>
      <c r="D9" s="100"/>
      <c r="E9" s="100"/>
      <c r="F9" s="100"/>
      <c r="G9" s="100"/>
      <c r="H9" s="100"/>
      <c r="I9" s="100"/>
      <c r="J9" s="100"/>
      <c r="K9" s="100"/>
      <c r="L9" s="101"/>
      <c r="M9" s="99" t="s">
        <v>215</v>
      </c>
      <c r="N9" s="100"/>
      <c r="O9" s="100"/>
      <c r="P9" s="101"/>
    </row>
    <row r="10" spans="2:24" ht="22.05" customHeight="1" x14ac:dyDescent="0.3">
      <c r="B10" s="2" t="s">
        <v>216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35</v>
      </c>
      <c r="H10" s="2" t="s">
        <v>36</v>
      </c>
      <c r="I10" s="2" t="s">
        <v>37</v>
      </c>
      <c r="M10" s="1" t="s">
        <v>216</v>
      </c>
      <c r="N10" s="1" t="s">
        <v>28</v>
      </c>
      <c r="O10" s="1" t="s">
        <v>31</v>
      </c>
      <c r="R10" t="s">
        <v>216</v>
      </c>
      <c r="S10" t="s">
        <v>23</v>
      </c>
      <c r="T10" t="s">
        <v>24</v>
      </c>
      <c r="U10" t="s">
        <v>25</v>
      </c>
      <c r="W10" t="s">
        <v>216</v>
      </c>
      <c r="X10" t="s">
        <v>217</v>
      </c>
    </row>
    <row r="11" spans="2:24" ht="24" customHeight="1" x14ac:dyDescent="0.3">
      <c r="B11" s="70" t="s">
        <v>218</v>
      </c>
      <c r="C11" s="25">
        <v>1367</v>
      </c>
      <c r="D11" s="25">
        <v>601</v>
      </c>
      <c r="E11" s="25">
        <v>262</v>
      </c>
      <c r="F11" s="25">
        <v>504</v>
      </c>
      <c r="G11" s="25">
        <v>766</v>
      </c>
      <c r="H11" s="26" t="s">
        <v>219</v>
      </c>
      <c r="I11" s="27" t="s">
        <v>220</v>
      </c>
      <c r="M11" s="70" t="s">
        <v>218</v>
      </c>
      <c r="N11" s="25">
        <v>661</v>
      </c>
      <c r="O11" s="25">
        <v>706</v>
      </c>
      <c r="R11" t="s">
        <v>218</v>
      </c>
      <c r="S11">
        <v>601</v>
      </c>
      <c r="T11">
        <v>262</v>
      </c>
      <c r="U11">
        <v>504</v>
      </c>
      <c r="W11" t="s">
        <v>218</v>
      </c>
      <c r="X11">
        <v>56</v>
      </c>
    </row>
    <row r="12" spans="2:24" ht="24" customHeight="1" x14ac:dyDescent="0.3">
      <c r="B12" s="67" t="s">
        <v>221</v>
      </c>
      <c r="C12" s="21">
        <v>1307</v>
      </c>
      <c r="D12" s="21">
        <v>562</v>
      </c>
      <c r="E12" s="21">
        <v>240</v>
      </c>
      <c r="F12" s="21">
        <v>505</v>
      </c>
      <c r="G12" s="21">
        <v>745</v>
      </c>
      <c r="H12" s="22" t="s">
        <v>222</v>
      </c>
      <c r="I12" s="23" t="s">
        <v>223</v>
      </c>
      <c r="M12" s="67" t="s">
        <v>221</v>
      </c>
      <c r="N12" s="21">
        <v>684</v>
      </c>
      <c r="O12" s="21">
        <v>623</v>
      </c>
      <c r="R12" t="s">
        <v>221</v>
      </c>
      <c r="S12">
        <v>562</v>
      </c>
      <c r="T12">
        <v>240</v>
      </c>
      <c r="U12">
        <v>505</v>
      </c>
      <c r="W12" t="s">
        <v>221</v>
      </c>
      <c r="X12">
        <v>57</v>
      </c>
    </row>
    <row r="13" spans="2:24" ht="24" customHeight="1" x14ac:dyDescent="0.3">
      <c r="B13" s="92" t="s">
        <v>224</v>
      </c>
      <c r="C13" s="93">
        <v>1337</v>
      </c>
      <c r="D13" s="93">
        <v>577</v>
      </c>
      <c r="E13" s="93">
        <v>270</v>
      </c>
      <c r="F13" s="93">
        <v>490</v>
      </c>
      <c r="G13" s="93">
        <v>760</v>
      </c>
      <c r="H13" s="94" t="s">
        <v>225</v>
      </c>
      <c r="I13" s="95" t="s">
        <v>226</v>
      </c>
      <c r="M13" s="92" t="s">
        <v>224</v>
      </c>
      <c r="N13" s="93">
        <v>663</v>
      </c>
      <c r="O13" s="93">
        <v>674</v>
      </c>
      <c r="R13" t="s">
        <v>224</v>
      </c>
      <c r="S13">
        <v>577</v>
      </c>
      <c r="T13">
        <v>270</v>
      </c>
      <c r="U13">
        <v>490</v>
      </c>
      <c r="W13" t="s">
        <v>224</v>
      </c>
      <c r="X13">
        <v>56.8</v>
      </c>
    </row>
    <row r="14" spans="2:24" ht="24" customHeight="1" x14ac:dyDescent="0.3">
      <c r="B14" s="73" t="s">
        <v>205</v>
      </c>
      <c r="C14" s="29">
        <v>1353</v>
      </c>
      <c r="D14" s="29">
        <v>530</v>
      </c>
      <c r="E14" s="29">
        <v>252</v>
      </c>
      <c r="F14" s="29">
        <v>571</v>
      </c>
      <c r="G14" s="29">
        <v>823</v>
      </c>
      <c r="H14" s="30" t="s">
        <v>227</v>
      </c>
      <c r="I14" s="31" t="s">
        <v>228</v>
      </c>
      <c r="M14" s="73" t="s">
        <v>205</v>
      </c>
      <c r="N14" s="29">
        <v>601</v>
      </c>
      <c r="O14" s="29">
        <v>752</v>
      </c>
      <c r="R14" t="s">
        <v>205</v>
      </c>
      <c r="S14">
        <v>530</v>
      </c>
      <c r="T14">
        <v>252</v>
      </c>
      <c r="U14">
        <v>571</v>
      </c>
      <c r="W14" t="s">
        <v>205</v>
      </c>
      <c r="X14">
        <v>60.8</v>
      </c>
    </row>
    <row r="15" spans="2:24" ht="24" customHeight="1" x14ac:dyDescent="0.3">
      <c r="B15" s="76" t="s">
        <v>204</v>
      </c>
      <c r="C15" s="33">
        <v>1381</v>
      </c>
      <c r="D15" s="33">
        <v>561</v>
      </c>
      <c r="E15" s="33">
        <v>240</v>
      </c>
      <c r="F15" s="33">
        <v>580</v>
      </c>
      <c r="G15" s="33">
        <v>820</v>
      </c>
      <c r="H15" s="34" t="s">
        <v>42</v>
      </c>
      <c r="I15" s="35" t="s">
        <v>43</v>
      </c>
      <c r="M15" s="76" t="s">
        <v>204</v>
      </c>
      <c r="N15" s="33">
        <v>629</v>
      </c>
      <c r="O15" s="33">
        <v>752</v>
      </c>
      <c r="R15" t="s">
        <v>204</v>
      </c>
      <c r="S15">
        <v>561</v>
      </c>
      <c r="T15">
        <v>240</v>
      </c>
      <c r="U15">
        <v>580</v>
      </c>
      <c r="W15" t="s">
        <v>204</v>
      </c>
      <c r="X15">
        <v>59.4</v>
      </c>
    </row>
  </sheetData>
  <mergeCells count="25">
    <mergeCell ref="M9:P9"/>
    <mergeCell ref="B5:D5"/>
    <mergeCell ref="K4:M4"/>
    <mergeCell ref="K6:M6"/>
    <mergeCell ref="H5:J5"/>
    <mergeCell ref="B4:D4"/>
    <mergeCell ref="N4:P4"/>
    <mergeCell ref="B7:D7"/>
    <mergeCell ref="B9:L9"/>
    <mergeCell ref="N7:P7"/>
    <mergeCell ref="E5:G5"/>
    <mergeCell ref="K5:M5"/>
    <mergeCell ref="H4:J4"/>
    <mergeCell ref="E4:G4"/>
    <mergeCell ref="H6:J6"/>
    <mergeCell ref="B2:P2"/>
    <mergeCell ref="N5:P5"/>
    <mergeCell ref="B1:P1"/>
    <mergeCell ref="H7:J7"/>
    <mergeCell ref="E6:G6"/>
    <mergeCell ref="E7:G7"/>
    <mergeCell ref="B6:D6"/>
    <mergeCell ref="N6:P6"/>
    <mergeCell ref="K7:M7"/>
    <mergeCell ref="B3:P3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4"/>
  <sheetViews>
    <sheetView showGridLines="0" zoomScale="85" workbookViewId="0"/>
  </sheetViews>
  <sheetFormatPr defaultRowHeight="14.4" x14ac:dyDescent="0.3"/>
  <cols>
    <col min="1" max="1" width="10" customWidth="1"/>
    <col min="2" max="2" width="32" customWidth="1"/>
    <col min="3" max="7" width="4" customWidth="1"/>
    <col min="8" max="8" width="16" customWidth="1"/>
    <col min="9" max="9" width="32" customWidth="1"/>
    <col min="10" max="14" width="4" customWidth="1"/>
  </cols>
  <sheetData>
    <row r="1" spans="1:14" ht="36" customHeight="1" x14ac:dyDescent="0.3">
      <c r="A1" s="127" t="s">
        <v>229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</row>
    <row r="2" spans="1:14" ht="6" customHeight="1" x14ac:dyDescent="0.3">
      <c r="A2" s="105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</row>
    <row r="3" spans="1:14" ht="31.95" customHeight="1" x14ac:dyDescent="0.3">
      <c r="A3" s="132" t="s">
        <v>230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</row>
    <row r="4" spans="1:14" ht="6" customHeight="1" x14ac:dyDescent="0.3">
      <c r="A4" s="136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</row>
    <row r="5" spans="1:14" ht="7.95" customHeight="1" x14ac:dyDescent="0.3"/>
    <row r="6" spans="1:14" ht="28.05" customHeight="1" x14ac:dyDescent="0.3">
      <c r="A6" s="128" t="s">
        <v>231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129" t="s">
        <v>232</v>
      </c>
      <c r="M6" s="98"/>
      <c r="N6" s="98"/>
    </row>
    <row r="7" spans="1:14" ht="30" customHeight="1" x14ac:dyDescent="0.3">
      <c r="A7" s="96" t="s">
        <v>233</v>
      </c>
      <c r="B7" s="124" t="s">
        <v>234</v>
      </c>
      <c r="C7" s="98"/>
      <c r="D7" s="98"/>
      <c r="E7" s="98"/>
      <c r="F7" s="98"/>
      <c r="H7" s="96" t="s">
        <v>235</v>
      </c>
      <c r="I7" s="124" t="s">
        <v>236</v>
      </c>
      <c r="J7" s="98"/>
      <c r="K7" s="98"/>
      <c r="L7" s="98"/>
      <c r="M7" s="98"/>
      <c r="N7" s="98"/>
    </row>
    <row r="8" spans="1:14" ht="30" customHeight="1" x14ac:dyDescent="0.3">
      <c r="A8" s="96" t="s">
        <v>237</v>
      </c>
      <c r="B8" s="124" t="s">
        <v>238</v>
      </c>
      <c r="C8" s="98"/>
      <c r="D8" s="98"/>
      <c r="E8" s="98"/>
      <c r="F8" s="98"/>
      <c r="H8" s="96" t="s">
        <v>239</v>
      </c>
      <c r="I8" s="124" t="s">
        <v>240</v>
      </c>
      <c r="J8" s="98"/>
      <c r="K8" s="98"/>
      <c r="L8" s="98"/>
      <c r="M8" s="98"/>
      <c r="N8" s="98"/>
    </row>
    <row r="9" spans="1:14" ht="7.95" customHeight="1" x14ac:dyDescent="0.3"/>
    <row r="10" spans="1:14" ht="28.05" customHeight="1" x14ac:dyDescent="0.3">
      <c r="A10" s="137" t="s">
        <v>241</v>
      </c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129" t="s">
        <v>232</v>
      </c>
      <c r="M10" s="98"/>
      <c r="N10" s="98"/>
    </row>
    <row r="11" spans="1:14" ht="30" customHeight="1" x14ac:dyDescent="0.3">
      <c r="A11" s="96" t="s">
        <v>233</v>
      </c>
      <c r="B11" s="124" t="s">
        <v>242</v>
      </c>
      <c r="C11" s="98"/>
      <c r="D11" s="98"/>
      <c r="E11" s="98"/>
      <c r="F11" s="98"/>
      <c r="H11" s="96" t="s">
        <v>235</v>
      </c>
      <c r="I11" s="124" t="s">
        <v>243</v>
      </c>
      <c r="J11" s="98"/>
      <c r="K11" s="98"/>
      <c r="L11" s="98"/>
      <c r="M11" s="98"/>
      <c r="N11" s="98"/>
    </row>
    <row r="12" spans="1:14" ht="30" customHeight="1" x14ac:dyDescent="0.3">
      <c r="A12" s="96" t="s">
        <v>237</v>
      </c>
      <c r="B12" s="124" t="s">
        <v>244</v>
      </c>
      <c r="C12" s="98"/>
      <c r="D12" s="98"/>
      <c r="E12" s="98"/>
      <c r="F12" s="98"/>
      <c r="H12" s="96" t="s">
        <v>239</v>
      </c>
      <c r="I12" s="124" t="s">
        <v>245</v>
      </c>
      <c r="J12" s="98"/>
      <c r="K12" s="98"/>
      <c r="L12" s="98"/>
      <c r="M12" s="98"/>
      <c r="N12" s="98"/>
    </row>
    <row r="13" spans="1:14" ht="7.95" customHeight="1" x14ac:dyDescent="0.3"/>
    <row r="14" spans="1:14" ht="28.05" customHeight="1" x14ac:dyDescent="0.3">
      <c r="A14" s="134" t="s">
        <v>246</v>
      </c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126" t="s">
        <v>247</v>
      </c>
      <c r="M14" s="98"/>
      <c r="N14" s="98"/>
    </row>
    <row r="15" spans="1:14" ht="30" customHeight="1" x14ac:dyDescent="0.3">
      <c r="A15" s="96" t="s">
        <v>233</v>
      </c>
      <c r="B15" s="125" t="s">
        <v>248</v>
      </c>
      <c r="C15" s="98"/>
      <c r="D15" s="98"/>
      <c r="E15" s="98"/>
      <c r="F15" s="98"/>
      <c r="H15" s="96" t="s">
        <v>235</v>
      </c>
      <c r="I15" s="125" t="s">
        <v>249</v>
      </c>
      <c r="J15" s="98"/>
      <c r="K15" s="98"/>
      <c r="L15" s="98"/>
      <c r="M15" s="98"/>
      <c r="N15" s="98"/>
    </row>
    <row r="16" spans="1:14" ht="30" customHeight="1" x14ac:dyDescent="0.3">
      <c r="A16" s="96" t="s">
        <v>237</v>
      </c>
      <c r="B16" s="125" t="s">
        <v>250</v>
      </c>
      <c r="C16" s="98"/>
      <c r="D16" s="98"/>
      <c r="E16" s="98"/>
      <c r="F16" s="98"/>
      <c r="H16" s="96" t="s">
        <v>239</v>
      </c>
      <c r="I16" s="125" t="s">
        <v>251</v>
      </c>
      <c r="J16" s="98"/>
      <c r="K16" s="98"/>
      <c r="L16" s="98"/>
      <c r="M16" s="98"/>
      <c r="N16" s="98"/>
    </row>
    <row r="17" spans="1:14" ht="7.95" customHeight="1" x14ac:dyDescent="0.3"/>
    <row r="18" spans="1:14" ht="28.05" customHeight="1" x14ac:dyDescent="0.3">
      <c r="A18" s="133" t="s">
        <v>252</v>
      </c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126" t="s">
        <v>247</v>
      </c>
      <c r="M18" s="98"/>
      <c r="N18" s="98"/>
    </row>
    <row r="19" spans="1:14" ht="30" customHeight="1" x14ac:dyDescent="0.3">
      <c r="A19" s="96" t="s">
        <v>233</v>
      </c>
      <c r="B19" s="125" t="s">
        <v>253</v>
      </c>
      <c r="C19" s="98"/>
      <c r="D19" s="98"/>
      <c r="E19" s="98"/>
      <c r="F19" s="98"/>
      <c r="H19" s="96" t="s">
        <v>235</v>
      </c>
      <c r="I19" s="125" t="s">
        <v>254</v>
      </c>
      <c r="J19" s="98"/>
      <c r="K19" s="98"/>
      <c r="L19" s="98"/>
      <c r="M19" s="98"/>
      <c r="N19" s="98"/>
    </row>
    <row r="20" spans="1:14" ht="30" customHeight="1" x14ac:dyDescent="0.3">
      <c r="A20" s="96" t="s">
        <v>237</v>
      </c>
      <c r="B20" s="125" t="s">
        <v>255</v>
      </c>
      <c r="C20" s="98"/>
      <c r="D20" s="98"/>
      <c r="E20" s="98"/>
      <c r="F20" s="98"/>
      <c r="H20" s="96" t="s">
        <v>239</v>
      </c>
      <c r="I20" s="125" t="s">
        <v>256</v>
      </c>
      <c r="J20" s="98"/>
      <c r="K20" s="98"/>
      <c r="L20" s="98"/>
      <c r="M20" s="98"/>
      <c r="N20" s="98"/>
    </row>
    <row r="21" spans="1:14" ht="7.95" customHeight="1" x14ac:dyDescent="0.3"/>
    <row r="22" spans="1:14" ht="28.05" customHeight="1" x14ac:dyDescent="0.3">
      <c r="A22" s="135" t="s">
        <v>257</v>
      </c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131" t="s">
        <v>258</v>
      </c>
      <c r="M22" s="98"/>
      <c r="N22" s="98"/>
    </row>
    <row r="23" spans="1:14" ht="30" customHeight="1" x14ac:dyDescent="0.3">
      <c r="A23" s="96" t="s">
        <v>233</v>
      </c>
      <c r="B23" s="130" t="s">
        <v>259</v>
      </c>
      <c r="C23" s="98"/>
      <c r="D23" s="98"/>
      <c r="E23" s="98"/>
      <c r="F23" s="98"/>
      <c r="H23" s="96" t="s">
        <v>235</v>
      </c>
      <c r="I23" s="130" t="s">
        <v>260</v>
      </c>
      <c r="J23" s="98"/>
      <c r="K23" s="98"/>
      <c r="L23" s="98"/>
      <c r="M23" s="98"/>
      <c r="N23" s="98"/>
    </row>
    <row r="24" spans="1:14" ht="30" customHeight="1" x14ac:dyDescent="0.3">
      <c r="A24" s="96" t="s">
        <v>237</v>
      </c>
      <c r="B24" s="130" t="s">
        <v>261</v>
      </c>
      <c r="C24" s="98"/>
      <c r="D24" s="98"/>
      <c r="E24" s="98"/>
      <c r="F24" s="98"/>
      <c r="H24" s="96" t="s">
        <v>239</v>
      </c>
      <c r="I24" s="130" t="s">
        <v>262</v>
      </c>
      <c r="J24" s="98"/>
      <c r="K24" s="98"/>
      <c r="L24" s="98"/>
      <c r="M24" s="98"/>
      <c r="N24" s="98"/>
    </row>
  </sheetData>
  <mergeCells count="34">
    <mergeCell ref="B24:F24"/>
    <mergeCell ref="A4:N4"/>
    <mergeCell ref="B15:F15"/>
    <mergeCell ref="B20:F20"/>
    <mergeCell ref="A10:K10"/>
    <mergeCell ref="I16:N16"/>
    <mergeCell ref="A2:N2"/>
    <mergeCell ref="B19:F19"/>
    <mergeCell ref="A14:K14"/>
    <mergeCell ref="I15:N15"/>
    <mergeCell ref="A22:K22"/>
    <mergeCell ref="I11:N11"/>
    <mergeCell ref="A1:N1"/>
    <mergeCell ref="A6:K6"/>
    <mergeCell ref="B12:F12"/>
    <mergeCell ref="L10:N10"/>
    <mergeCell ref="I24:N24"/>
    <mergeCell ref="B11:F11"/>
    <mergeCell ref="L22:N22"/>
    <mergeCell ref="I23:N23"/>
    <mergeCell ref="I8:N8"/>
    <mergeCell ref="B23:F23"/>
    <mergeCell ref="B8:F8"/>
    <mergeCell ref="L6:N6"/>
    <mergeCell ref="I20:N20"/>
    <mergeCell ref="A3:N3"/>
    <mergeCell ref="A18:K18"/>
    <mergeCell ref="I19:N19"/>
    <mergeCell ref="I7:N7"/>
    <mergeCell ref="B7:F7"/>
    <mergeCell ref="B16:F16"/>
    <mergeCell ref="L18:N18"/>
    <mergeCell ref="L14:N14"/>
    <mergeCell ref="I12:N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Executive Overview</vt:lpstr>
      <vt:lpstr>⏰ Hourly Operations</vt:lpstr>
      <vt:lpstr>🔴 Supply Gap Analysis</vt:lpstr>
      <vt:lpstr>✅ Trip Performance</vt:lpstr>
      <vt:lpstr>📅 Day &amp; Trend</vt:lpstr>
      <vt:lpstr>💡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 Suman Sangeet</cp:lastModifiedBy>
  <dcterms:created xsi:type="dcterms:W3CDTF">2026-06-06T13:31:47Z</dcterms:created>
  <dcterms:modified xsi:type="dcterms:W3CDTF">2026-06-10T05:09:53Z</dcterms:modified>
</cp:coreProperties>
</file>